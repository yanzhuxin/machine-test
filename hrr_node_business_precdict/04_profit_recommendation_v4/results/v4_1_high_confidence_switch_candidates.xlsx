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4215be2be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确定性切换候选" sheetId="1" r:id="R5150ae565b9c42cc"/>
    <x:sheet xmlns:r="http://schemas.openxmlformats.org/officeDocument/2006/relationships" name="筛选口径" sheetId="2" r:id="R08b5ba52792e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yyyy-mm-dd"/>
    <x:numFmt numFmtId="202" formatCode="#,##0.00;[Red]-#,##0.00"/>
    <x:numFmt numFmtId="203" formatCode="0.00x"/>
    <x:numFmt numFmtId="204" formatCode="#,##0"/>
    <x:numFmt numFmtId="205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sz val="11"/>
      <x:color rgb="FF7F6000"/>
      <x:name val="Carlito"/>
    </x:font>
    <x:font>
      <x:sz val="10"/>
      <x:color rgb="FF222222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44062"/>
      </x:patternFill>
    </x:fill>
  </x:fills>
  <x:borders count="14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right style="thin">
        <x:color rgb="FFA6B7C7"/>
      </x:right>
    </x:border>
    <x:border>
      <x:left style="thin">
        <x:color rgb="FFA6B7C7"/>
      </x:left>
      <x:right style="thin">
        <x:color rgb="FFA6B7C7"/>
      </x:right>
    </x:border>
    <x:border>
      <x:left style="thin">
        <x:color rgb="FFA6B7C7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8" xfId="0" applyNumberFormat="1" applyFont="1" applyFill="1" applyBorder="1" applyAlignment="1">
      <x:alignment horizontal="center" vertical="center" wrapText="1"/>
    </x:xf>
    <x:xf numFmtId="0" fontId="3" fillId="7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3" fontId="6" fillId="0" borderId="10" xfId="0" applyNumberFormat="1" applyFont="1" applyFill="1" applyBorder="1" applyAlignment="1">
      <x:alignment vertical="center"/>
    </x:xf>
    <x:xf numFmtId="203" fontId="6" fillId="0" borderId="11" xfId="0" applyNumberFormat="1" applyFont="1" applyFill="1" applyBorder="1" applyAlignment="1">
      <x:alignment vertical="center"/>
    </x:xf>
    <x:xf numFmtId="203" fontId="6" fillId="0" borderId="12" xfId="0" applyNumberFormat="1" applyFont="1" applyFill="1" applyBorder="1" applyAlignment="1">
      <x:alignment vertical="center"/>
    </x:xf>
    <x:xf numFmtId="204" fontId="6" fillId="0" borderId="10" xfId="0" applyNumberFormat="1" applyFont="1" applyFill="1" applyBorder="1" applyAlignment="1">
      <x:alignment vertical="center"/>
    </x:xf>
    <x:xf numFmtId="204" fontId="6" fillId="0" borderId="1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5" fontId="6" fillId="0" borderId="10" xfId="0" applyNumberFormat="1" applyFont="1" applyFill="1" applyBorder="1" applyAlignment="1">
      <x:alignment vertical="center"/>
    </x:xf>
    <x:xf numFmtId="205" fontId="6" fillId="0" borderId="11" xfId="0" applyNumberFormat="1" applyFont="1" applyFill="1" applyBorder="1" applyAlignment="1">
      <x:alignment vertical="center"/>
    </x:xf>
    <x:xf numFmtId="205" fontId="6" fillId="0" borderId="12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/>
    <x:xf numFmtId="0" fontId="7" fillId="3" borderId="13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b3915fea041c0" /><Relationship Type="http://schemas.openxmlformats.org/officeDocument/2006/relationships/theme" Target="/xl/theme/theme1.xml" Id="R1921a0411e97434c" /><Relationship Type="http://schemas.openxmlformats.org/officeDocument/2006/relationships/sharedStrings" Target="/xl/sharedStrings.xml" Id="R49369887400040e5" /><Relationship Type="http://schemas.openxmlformats.org/officeDocument/2006/relationships/worksheet" Target="/xl/worksheets/sheet1.xml" Id="R5150ae565b9c42cc" /><Relationship Type="http://schemas.openxmlformats.org/officeDocument/2006/relationships/worksheet" Target="/xl/worksheets/sheet2.xml" Id="R08b5ba52792e4546" /></Relationships>
</file>

<file path=xl/tables/table1.xml><?xml version="1.0" encoding="utf-8"?>
<x:table xmlns:x="http://schemas.openxmlformats.org/spreadsheetml/2006/main" id="1" name="V41HighConfidenceSwitchTable" displayName="V41HighConfidenceSwitchTable" ref="A7:T250" headerRowCount="1" totalsRowCount="0" totalsRowShown="0">
  <x:autoFilter ref="A7:T250"/>
  <x:tableColumns count="20">
    <x:tableColumn id="1" name="节点ID"/>
    <x:tableColumn id="2" name="切换理由"/>
    <x:tableColumn id="3" name="确定性等级"/>
    <x:tableColumn id="4" name="最近样本日期"/>
    <x:tableColumn id="5" name="当前真实业务ID"/>
    <x:tableColumn id="6" name="当前真实业务"/>
    <x:tableColumn id="7" name="当前真实利润"/>
    <x:tableColumn id="8" name="当前业务预测利润"/>
    <x:tableColumn id="9" name="当前预测绝对误差"/>
    <x:tableColumn id="10" name="推荐Top1业务ID"/>
    <x:tableColumn id="11" name="推荐Top1业务"/>
    <x:tableColumn id="12" name="Top1预测利润"/>
    <x:tableColumn id="13" name="金额预测提升"/>
    <x:tableColumn id="14" name="提升÷误差"/>
    <x:tableColumn id="15" name="当前业务修正利润分"/>
    <x:tableColumn id="16" name="Top1修正利润分"/>
    <x:tableColumn id="17" name="修正利润分差"/>
    <x:tableColumn id="18" name="Top1训练样本数"/>
    <x:tableColumn id="19" name="最近7天活跃天数"/>
    <x:tableColumn id="20" name="真实利润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4c5bacfa0949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9" hidden="0" customWidth="1"/>
    <x:col min="4" max="4" width="13" hidden="0" customWidth="1"/>
    <x:col min="5" max="5" width="16" hidden="0" customWidth="1"/>
    <x:col min="6" max="6" width="21" hidden="0" customWidth="1"/>
    <x:col min="7" max="7" width="14" hidden="0" customWidth="1"/>
    <x:col min="8" max="8" width="17" hidden="0" customWidth="1"/>
    <x:col min="9" max="9" width="16" hidden="0" customWidth="1"/>
    <x:col min="10" max="10" width="17" hidden="0" customWidth="1"/>
    <x:col min="11" max="11" width="21" hidden="0" customWidth="1"/>
    <x:col min="12" max="12" width="15" hidden="0" customWidth="1"/>
    <x:col min="13" max="13" width="15" hidden="0" customWidth="1"/>
    <x:col min="14" max="14" width="13" hidden="0" customWidth="1"/>
    <x:col min="15" max="15" width="18" hidden="0" customWidth="1"/>
    <x:col min="16" max="16" width="18" hidden="0" customWidth="1"/>
    <x:col min="17" max="17" width="16" hidden="0" customWidth="1"/>
    <x:col min="18" max="18" width="14" hidden="0" customWidth="1"/>
    <x:col min="19" max="19" width="15" hidden="0" customWidth="1"/>
    <x:col min="20" max="20" width="34" hidden="0" customWidth="1"/>
  </x:cols>
  <x:sheetData>
    <x:row r="1" ht="34" customHeight="1">
      <x:c r="A1" s="4" t="str">
        <x:v>第四版 v4.1：高确定性业务切换候选表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8" t="str">
        <x:v>核心原则：模型对当前业务方向判断正确，且 Top1 预测提升足以覆盖当前业务预测误差；两条排序路线必须同时支持切换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3">
      <x:c r="A3" s="16" t="str">
        <x:v>高确定性候选</x:v>
      </x:c>
      <x:c r="B3" s="17"/>
      <x:c r="C3" s="17" t="str">
        <x:v>A类：亏损转正</x:v>
      </x:c>
      <x:c r="D3" s="17"/>
      <x:c r="E3" s="17" t="str">
        <x:v>B类：明确增益</x:v>
      </x:c>
      <x:c r="F3" s="17"/>
      <x:c r="G3" s="17" t="str">
        <x:v>很高确定性（≥2倍）</x:v>
      </x:c>
      <x:c r="H3" s="17"/>
      <x:c r="I3" s="17" t="str">
        <x:v>筛选保留率</x:v>
      </x:c>
      <x:c r="J3" s="18"/>
    </x:row>
    <x:row r="4">
      <x:c r="A4" s="19" t="n">
        <x:f>COUNTA(A8:A250)</x:f>
        <x:v>243</x:v>
      </x:c>
      <x:c r="B4" s="20"/>
      <x:c r="C4" s="20" t="n">
        <x:f>COUNTIF(B8:B250,"A类：当前真实与预测均亏损，Top1预测转正")</x:f>
        <x:v>78</x:v>
      </x:c>
      <x:c r="D4" s="20"/>
      <x:c r="E4" s="20" t="n">
        <x:f>COUNTIF(B8:B250,"B类：当前真实与预测均盈利，Top1增益超过当前预测误差")</x:f>
        <x:v>165</x:v>
      </x:c>
      <x:c r="F4" s="20"/>
      <x:c r="G4" s="20" t="n">
        <x:f>COUNTIF(C8:C250,"很高（≥2.0倍）")</x:f>
        <x:v>161</x:v>
      </x:c>
      <x:c r="H4" s="20"/>
      <x:c r="I4" s="21" t="n">
        <x:f>A4/3486</x:f>
        <x:v>0.06970740103270223</x:v>
      </x:c>
      <x:c r="J4" s="22"/>
    </x:row>
    <x:row r="6" ht="30" customHeight="1">
      <x:c r="A6" s="26" t="str">
        <x:v>建议优先审核 A 类及“很高”确定性节点。预测提升÷预测误差越大，切换信号越明显；该表仍是业务审核候选，不是自动切换指令。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</x:row>
    <x:row r="7" ht="46" customHeight="1">
      <x:c r="A7" s="38" t="str">
        <x:v>节点ID</x:v>
      </x:c>
      <x:c r="B7" s="39" t="str">
        <x:v>切换理由</x:v>
      </x:c>
      <x:c r="C7" s="39" t="str">
        <x:v>确定性等级</x:v>
      </x:c>
      <x:c r="D7" s="39" t="str">
        <x:v>最近样本日期</x:v>
      </x:c>
      <x:c r="E7" s="39" t="str">
        <x:v>当前真实业务ID</x:v>
      </x:c>
      <x:c r="F7" s="39" t="str">
        <x:v>当前真实业务</x:v>
      </x:c>
      <x:c r="G7" s="39" t="str">
        <x:v>当前真实利润</x:v>
      </x:c>
      <x:c r="H7" s="39" t="str">
        <x:v>当前业务预测利润</x:v>
      </x:c>
      <x:c r="I7" s="39" t="str">
        <x:v>当前预测绝对误差</x:v>
      </x:c>
      <x:c r="J7" s="39" t="str">
        <x:v>推荐Top1业务ID</x:v>
      </x:c>
      <x:c r="K7" s="39" t="str">
        <x:v>推荐Top1业务</x:v>
      </x:c>
      <x:c r="L7" s="39" t="str">
        <x:v>Top1预测利润</x:v>
      </x:c>
      <x:c r="M7" s="39" t="str">
        <x:v>金额预测提升</x:v>
      </x:c>
      <x:c r="N7" s="39" t="str">
        <x:v>提升÷误差</x:v>
      </x:c>
      <x:c r="O7" s="39" t="str">
        <x:v>当前业务修正利润分</x:v>
      </x:c>
      <x:c r="P7" s="39" t="str">
        <x:v>Top1修正利润分</x:v>
      </x:c>
      <x:c r="Q7" s="39" t="str">
        <x:v>修正利润分差</x:v>
      </x:c>
      <x:c r="R7" s="39" t="str">
        <x:v>Top1训练样本数</x:v>
      </x:c>
      <x:c r="S7" s="39" t="str">
        <x:v>最近7天活跃天数</x:v>
      </x:c>
      <x:c r="T7" s="40" t="str">
        <x:v>真实利润来源</x:v>
      </x:c>
    </x:row>
    <x:row r="8">
      <x:c r="A8" s="60" t="str">
        <x:v>3dcf9c3d820ea951ddebb05c7c68e298</x:v>
      </x:c>
      <x:c r="B8" s="63" t="str">
        <x:v>A类：当前真实与预测均亏损，Top1预测转正</x:v>
      </x:c>
      <x:c r="C8" s="63" t="str">
        <x:v>很高（≥2.0倍）</x:v>
      </x:c>
      <x:c r="D8" s="48" t="n">
        <x:v>46260</x:v>
      </x:c>
      <x:c r="E8" s="60" t="str">
        <x:v>10000074</x:v>
      </x:c>
      <x:c r="F8" s="45" t="str">
        <x:v>腾讯直连独立</x:v>
      </x:c>
      <x:c r="G8" s="51" t="n">
        <x:v>-33.07</x:v>
      </x:c>
      <x:c r="H8" s="51" t="n">
        <x:v>-34.81636</x:v>
      </x:c>
      <x:c r="I8" s="51" t="n">
        <x:f>ABS(G8-H8)</x:f>
        <x:v>1.7463600000000028</x:v>
      </x:c>
      <x:c r="J8" s="60" t="str">
        <x:v>10000183</x:v>
      </x:c>
      <x:c r="K8" s="45" t="str">
        <x:v>B站专线-盒子</x:v>
      </x:c>
      <x:c r="L8" s="51" t="n">
        <x:v>134.53284</x:v>
      </x:c>
      <x:c r="M8" s="51" t="n">
        <x:f>L8-H8</x:f>
        <x:v>169.3492</x:v>
      </x:c>
      <x:c r="N8" s="54" t="n">
        <x:f>M8/MAX(I8,1)</x:f>
        <x:v>96.97267459172205</x:v>
      </x:c>
      <x:c r="O8" s="51" t="n">
        <x:v>-5.6231856</x:v>
      </x:c>
      <x:c r="P8" s="51" t="n">
        <x:v>82.88216</x:v>
      </x:c>
      <x:c r="Q8" s="51" t="n">
        <x:f>P8-O8</x:f>
        <x:v>88.5053456</x:v>
      </x:c>
      <x:c r="R8" s="57" t="n">
        <x:v>96</x:v>
      </x:c>
      <x:c r="S8" s="57" t="n">
        <x:v>6</x:v>
      </x:c>
      <x:c r="T8" s="63" t="str">
        <x:v>profit_profitAmount</x:v>
      </x:c>
    </x:row>
    <x:row r="9">
      <x:c r="A9" s="61" t="str">
        <x:v>7c47b2ae3398eaafb9fe105abeac229d</x:v>
      </x:c>
      <x:c r="B9" s="64" t="str">
        <x:v>A类：当前真实与预测均亏损，Top1预测转正</x:v>
      </x:c>
      <x:c r="C9" s="64" t="str">
        <x:v>很高（≥2.0倍）</x:v>
      </x:c>
      <x:c r="D9" s="49" t="n">
        <x:v>46261</x:v>
      </x:c>
      <x:c r="E9" s="61" t="str">
        <x:v>10000074</x:v>
      </x:c>
      <x:c r="F9" s="46" t="str">
        <x:v>腾讯直连独立</x:v>
      </x:c>
      <x:c r="G9" s="52" t="n">
        <x:v>-45.68</x:v>
      </x:c>
      <x:c r="H9" s="52" t="n">
        <x:v>-52.042297</x:v>
      </x:c>
      <x:c r="I9" s="52" t="n">
        <x:f>ABS(G9-H9)</x:f>
        <x:v>6.362296999999998</x:v>
      </x:c>
      <x:c r="J9" s="61" t="str">
        <x:v>10000183</x:v>
      </x:c>
      <x:c r="K9" s="46" t="str">
        <x:v>B站专线-盒子</x:v>
      </x:c>
      <x:c r="L9" s="52" t="n">
        <x:v>222.021</x:v>
      </x:c>
      <x:c r="M9" s="52" t="n">
        <x:f>L9-H9</x:f>
        <x:v>274.063297</x:v>
      </x:c>
      <x:c r="N9" s="55" t="n">
        <x:f>M9/MAX(I9,1)</x:f>
        <x:v>43.07615582862606</x:v>
      </x:c>
      <x:c r="O9" s="52" t="n">
        <x:v>-3.9639368</x:v>
      </x:c>
      <x:c r="P9" s="52" t="n">
        <x:v>185.19386</x:v>
      </x:c>
      <x:c r="Q9" s="52" t="n">
        <x:f>P9-O9</x:f>
        <x:v>189.1577968</x:v>
      </x:c>
      <x:c r="R9" s="58" t="n">
        <x:v>96</x:v>
      </x:c>
      <x:c r="S9" s="58" t="n">
        <x:v>7</x:v>
      </x:c>
      <x:c r="T9" s="64" t="str">
        <x:v>profit_profitAmount</x:v>
      </x:c>
    </x:row>
    <x:row r="10">
      <x:c r="A10" s="61" t="str">
        <x:v>d72ed745046dda09b17f543896440bfe</x:v>
      </x:c>
      <x:c r="B10" s="64" t="str">
        <x:v>A类：当前真实与预测均亏损，Top1预测转正</x:v>
      </x:c>
      <x:c r="C10" s="64" t="str">
        <x:v>很高（≥2.0倍）</x:v>
      </x:c>
      <x:c r="D10" s="49" t="n">
        <x:v>46261</x:v>
      </x:c>
      <x:c r="E10" s="61" t="str">
        <x:v>10000300</x:v>
      </x:c>
      <x:c r="F10" s="46" t="str">
        <x:v>B站-晚高峰21点</x:v>
      </x:c>
      <x:c r="G10" s="52" t="n">
        <x:v>-36.54</x:v>
      </x:c>
      <x:c r="H10" s="52" t="n">
        <x:v>-36.20338</x:v>
      </x:c>
      <x:c r="I10" s="52" t="n">
        <x:f>ABS(G10-H10)</x:f>
        <x:v>0.33661999999999637</x:v>
      </x:c>
      <x:c r="J10" s="61" t="str">
        <x:v>1382522065</x:v>
      </x:c>
      <x:c r="K10" s="46" t="str">
        <x:v>字节架构汇聚</x:v>
      </x:c>
      <x:c r="L10" s="52" t="n">
        <x:v>6.5773945</x:v>
      </x:c>
      <x:c r="M10" s="52" t="n">
        <x:f>L10-H10</x:f>
        <x:v>42.7807745</x:v>
      </x:c>
      <x:c r="N10" s="55" t="n">
        <x:f>M10/MAX(I10,1)</x:f>
        <x:v>42.7807745</x:v>
      </x:c>
      <x:c r="O10" s="52" t="n">
        <x:v>-24.05513</x:v>
      </x:c>
      <x:c r="P10" s="52" t="n">
        <x:v>28.84203</x:v>
      </x:c>
      <x:c r="Q10" s="52" t="n">
        <x:f>P10-O10</x:f>
        <x:v>52.89716</x:v>
      </x:c>
      <x:c r="R10" s="58" t="n">
        <x:v>19</x:v>
      </x:c>
      <x:c r="S10" s="58" t="n">
        <x:v>7</x:v>
      </x:c>
      <x:c r="T10" s="64" t="str">
        <x:v>profit_profitAmount</x:v>
      </x:c>
    </x:row>
    <x:row r="11">
      <x:c r="A11" s="61" t="str">
        <x:v>4d0abc9cc2a1ac2c62b73d055bff426a</x:v>
      </x:c>
      <x:c r="B11" s="64" t="str">
        <x:v>A类：当前真实与预测均亏损，Top1预测转正</x:v>
      </x:c>
      <x:c r="C11" s="64" t="str">
        <x:v>很高（≥2.0倍）</x:v>
      </x:c>
      <x:c r="D11" s="49" t="n">
        <x:v>46261</x:v>
      </x:c>
      <x:c r="E11" s="61" t="str">
        <x:v>10000300</x:v>
      </x:c>
      <x:c r="F11" s="46" t="str">
        <x:v>B站-晚高峰21点</x:v>
      </x:c>
      <x:c r="G11" s="52" t="n">
        <x:v>-36.77</x:v>
      </x:c>
      <x:c r="H11" s="52" t="n">
        <x:v>-38.145836</x:v>
      </x:c>
      <x:c r="I11" s="52" t="n">
        <x:f>ABS(G11-H11)</x:f>
        <x:v>1.3758359999999996</x:v>
      </x:c>
      <x:c r="J11" s="61" t="str">
        <x:v>1382522065</x:v>
      </x:c>
      <x:c r="K11" s="46" t="str">
        <x:v>字节架构汇聚</x:v>
      </x:c>
      <x:c r="L11" s="52" t="n">
        <x:v>7.992729</x:v>
      </x:c>
      <x:c r="M11" s="52" t="n">
        <x:f>L11-H11</x:f>
        <x:v>46.138565</x:v>
      </x:c>
      <x:c r="N11" s="55" t="n">
        <x:f>M11/MAX(I11,1)</x:f>
        <x:v>33.53493076209666</x:v>
      </x:c>
      <x:c r="O11" s="52" t="n">
        <x:v>-25.235334</x:v>
      </x:c>
      <x:c r="P11" s="52" t="n">
        <x:v>29.187504</x:v>
      </x:c>
      <x:c r="Q11" s="52" t="n">
        <x:f>P11-O11</x:f>
        <x:v>54.422838</x:v>
      </x:c>
      <x:c r="R11" s="58" t="n">
        <x:v>19</x:v>
      </x:c>
      <x:c r="S11" s="58" t="n">
        <x:v>7</x:v>
      </x:c>
      <x:c r="T11" s="64" t="str">
        <x:v>profit_profitAmount</x:v>
      </x:c>
    </x:row>
    <x:row r="12">
      <x:c r="A12" s="61" t="str">
        <x:v>3127d54f2982c371774c4dd8e17ab1f0</x:v>
      </x:c>
      <x:c r="B12" s="64" t="str">
        <x:v>A类：当前真实与预测均亏损，Top1预测转正</x:v>
      </x:c>
      <x:c r="C12" s="64" t="str">
        <x:v>很高（≥2.0倍）</x:v>
      </x:c>
      <x:c r="D12" s="49" t="n">
        <x:v>46261</x:v>
      </x:c>
      <x:c r="E12" s="61" t="str">
        <x:v>10000064</x:v>
      </x:c>
      <x:c r="F12" s="46" t="str">
        <x:v>百度小度</x:v>
      </x:c>
      <x:c r="G12" s="52" t="n">
        <x:v>-10.63</x:v>
      </x:c>
      <x:c r="H12" s="52" t="n">
        <x:v>-11.306593</x:v>
      </x:c>
      <x:c r="I12" s="52" t="n">
        <x:f>ABS(G12-H12)</x:f>
        <x:v>0.6765929999999987</x:v>
      </x:c>
      <x:c r="J12" s="61" t="str">
        <x:v>1382490022</x:v>
      </x:c>
      <x:c r="K12" s="46" t="str">
        <x:v>快手盒子</x:v>
      </x:c>
      <x:c r="L12" s="52" t="n">
        <x:v>19.805092</x:v>
      </x:c>
      <x:c r="M12" s="52" t="n">
        <x:f>L12-H12</x:f>
        <x:v>31.111684999999998</x:v>
      </x:c>
      <x:c r="N12" s="55" t="n">
        <x:f>M12/MAX(I12,1)</x:f>
        <x:v>31.111684999999998</x:v>
      </x:c>
      <x:c r="O12" s="52" t="n">
        <x:v>-16.481781</x:v>
      </x:c>
      <x:c r="P12" s="52" t="n">
        <x:v>29.210823</x:v>
      </x:c>
      <x:c r="Q12" s="52" t="n">
        <x:f>P12-O12</x:f>
        <x:v>45.692604</x:v>
      </x:c>
      <x:c r="R12" s="58" t="n">
        <x:v>76</x:v>
      </x:c>
      <x:c r="S12" s="58" t="n">
        <x:v>7</x:v>
      </x:c>
      <x:c r="T12" s="64" t="str">
        <x:v>profit_profitAmount</x:v>
      </x:c>
    </x:row>
    <x:row r="13">
      <x:c r="A13" s="61" t="str">
        <x:v>d308043733b5f1ef8b7d4dd5c2d6f732</x:v>
      </x:c>
      <x:c r="B13" s="64" t="str">
        <x:v>A类：当前真实与预测均亏损，Top1预测转正</x:v>
      </x:c>
      <x:c r="C13" s="64" t="str">
        <x:v>很高（≥2.0倍）</x:v>
      </x:c>
      <x:c r="D13" s="49" t="n">
        <x:v>46261</x:v>
      </x:c>
      <x:c r="E13" s="61" t="str">
        <x:v>10000304</x:v>
      </x:c>
      <x:c r="F13" s="46" t="str">
        <x:v>快手严选</x:v>
      </x:c>
      <x:c r="G13" s="52" t="n">
        <x:v>-22.51</x:v>
      </x:c>
      <x:c r="H13" s="52" t="n">
        <x:v>-20.921097</x:v>
      </x:c>
      <x:c r="I13" s="52" t="n">
        <x:f>ABS(G13-H13)</x:f>
        <x:v>1.588903000000002</x:v>
      </x:c>
      <x:c r="J13" s="61" t="str">
        <x:v>1382490022</x:v>
      </x:c>
      <x:c r="K13" s="46" t="str">
        <x:v>快手盒子</x:v>
      </x:c>
      <x:c r="L13" s="52" t="n">
        <x:v>24.618662</x:v>
      </x:c>
      <x:c r="M13" s="52" t="n">
        <x:f>L13-H13</x:f>
        <x:v>45.539759000000004</x:v>
      </x:c>
      <x:c r="N13" s="55" t="n">
        <x:f>M13/MAX(I13,1)</x:f>
        <x:v>28.661132240294055</x:v>
      </x:c>
      <x:c r="O13" s="52" t="n">
        <x:v>8.849367</x:v>
      </x:c>
      <x:c r="P13" s="52" t="n">
        <x:v>19.645393</x:v>
      </x:c>
      <x:c r="Q13" s="52" t="n">
        <x:f>P13-O13</x:f>
        <x:v>10.796025999999998</x:v>
      </x:c>
      <x:c r="R13" s="58" t="n">
        <x:v>76</x:v>
      </x:c>
      <x:c r="S13" s="58" t="n">
        <x:v>7</x:v>
      </x:c>
      <x:c r="T13" s="64" t="str">
        <x:v>profit_profitAmount</x:v>
      </x:c>
    </x:row>
    <x:row r="14">
      <x:c r="A14" s="61" t="str">
        <x:v>69cacc67d7ea8b091f2082a6a7391ba3</x:v>
      </x:c>
      <x:c r="B14" s="64" t="str">
        <x:v>A类：当前真实与预测均亏损，Top1预测转正</x:v>
      </x:c>
      <x:c r="C14" s="64" t="str">
        <x:v>很高（≥2.0倍）</x:v>
      </x:c>
      <x:c r="D14" s="49" t="n">
        <x:v>46259</x:v>
      </x:c>
      <x:c r="E14" s="61" t="str">
        <x:v>10000074</x:v>
      </x:c>
      <x:c r="F14" s="46" t="str">
        <x:v>腾讯直连独立</x:v>
      </x:c>
      <x:c r="G14" s="52" t="n">
        <x:v>-1.12</x:v>
      </x:c>
      <x:c r="H14" s="52" t="n">
        <x:v>-3.5986938</x:v>
      </x:c>
      <x:c r="I14" s="52" t="n">
        <x:f>ABS(G14-H14)</x:f>
        <x:v>2.4786938</x:v>
      </x:c>
      <x:c r="J14" s="61" t="str">
        <x:v>1382490022</x:v>
      </x:c>
      <x:c r="K14" s="46" t="str">
        <x:v>快手盒子</x:v>
      </x:c>
      <x:c r="L14" s="52" t="n">
        <x:v>65.90275</x:v>
      </x:c>
      <x:c r="M14" s="52" t="n">
        <x:f>L14-H14</x:f>
        <x:v>69.5014438</x:v>
      </x:c>
      <x:c r="N14" s="55" t="n">
        <x:f>M14/MAX(I14,1)</x:f>
        <x:v>28.0395439727166</x:v>
      </x:c>
      <x:c r="O14" s="52" t="n">
        <x:v>-1.6112812</x:v>
      </x:c>
      <x:c r="P14" s="52" t="n">
        <x:v>74.78451</x:v>
      </x:c>
      <x:c r="Q14" s="52" t="n">
        <x:f>P14-O14</x:f>
        <x:v>76.39579119999999</x:v>
      </x:c>
      <x:c r="R14" s="58" t="n">
        <x:v>76</x:v>
      </x:c>
      <x:c r="S14" s="58" t="n">
        <x:v>5</x:v>
      </x:c>
      <x:c r="T14" s="64" t="str">
        <x:v>profit_profitAmount</x:v>
      </x:c>
    </x:row>
    <x:row r="15">
      <x:c r="A15" s="61" t="str">
        <x:v>2da86aab0fdf64a3611ac05017902b65</x:v>
      </x:c>
      <x:c r="B15" s="64" t="str">
        <x:v>A类：当前真实与预测均亏损，Top1预测转正</x:v>
      </x:c>
      <x:c r="C15" s="64" t="str">
        <x:v>很高（≥2.0倍）</x:v>
      </x:c>
      <x:c r="D15" s="49" t="n">
        <x:v>46261</x:v>
      </x:c>
      <x:c r="E15" s="61" t="str">
        <x:v>10000079</x:v>
      </x:c>
      <x:c r="F15" s="46" t="str">
        <x:v>字节架构汇聚V2</x:v>
      </x:c>
      <x:c r="G15" s="52" t="n">
        <x:v>-28.26</x:v>
      </x:c>
      <x:c r="H15" s="52" t="n">
        <x:v>-26.726614</x:v>
      </x:c>
      <x:c r="I15" s="52" t="n">
        <x:f>ABS(G15-H15)</x:f>
        <x:v>1.5333860000000001</x:v>
      </x:c>
      <x:c r="J15" s="61" t="str">
        <x:v>10000183</x:v>
      </x:c>
      <x:c r="K15" s="46" t="str">
        <x:v>B站专线-盒子</x:v>
      </x:c>
      <x:c r="L15" s="52" t="n">
        <x:v>8.638051</x:v>
      </x:c>
      <x:c r="M15" s="52" t="n">
        <x:f>L15-H15</x:f>
        <x:v>35.364665</x:v>
      </x:c>
      <x:c r="N15" s="55" t="n">
        <x:f>M15/MAX(I15,1)</x:f>
        <x:v>23.06311978849422</x:v>
      </x:c>
      <x:c r="O15" s="52" t="n">
        <x:v>-23.00542</x:v>
      </x:c>
      <x:c r="P15" s="52" t="n">
        <x:v>19.864439</x:v>
      </x:c>
      <x:c r="Q15" s="52" t="n">
        <x:f>P15-O15</x:f>
        <x:v>42.869859000000005</x:v>
      </x:c>
      <x:c r="R15" s="58" t="n">
        <x:v>96</x:v>
      </x:c>
      <x:c r="S15" s="58" t="n">
        <x:v>7</x:v>
      </x:c>
      <x:c r="T15" s="64" t="str">
        <x:v>profit_profitAmount</x:v>
      </x:c>
    </x:row>
    <x:row r="16">
      <x:c r="A16" s="61" t="str">
        <x:v>41f272184a4b65e3ba5e8765ca86264e</x:v>
      </x:c>
      <x:c r="B16" s="64" t="str">
        <x:v>A类：当前真实与预测均亏损，Top1预测转正</x:v>
      </x:c>
      <x:c r="C16" s="64" t="str">
        <x:v>很高（≥2.0倍）</x:v>
      </x:c>
      <x:c r="D16" s="49" t="n">
        <x:v>46256</x:v>
      </x:c>
      <x:c r="E16" s="61" t="str">
        <x:v>10000079</x:v>
      </x:c>
      <x:c r="F16" s="46" t="str">
        <x:v>字节架构汇聚V2</x:v>
      </x:c>
      <x:c r="G16" s="52" t="n">
        <x:v>-0.18</x:v>
      </x:c>
      <x:c r="H16" s="52" t="n">
        <x:v>-1.3028395</x:v>
      </x:c>
      <x:c r="I16" s="52" t="n">
        <x:f>ABS(G16-H16)</x:f>
        <x:v>1.1228395</x:v>
      </x:c>
      <x:c r="J16" s="61" t="str">
        <x:v>10000183</x:v>
      </x:c>
      <x:c r="K16" s="46" t="str">
        <x:v>B站专线-盒子</x:v>
      </x:c>
      <x:c r="L16" s="52" t="n">
        <x:v>21.605486</x:v>
      </x:c>
      <x:c r="M16" s="52" t="n">
        <x:f>L16-H16</x:f>
        <x:v>22.9083255</x:v>
      </x:c>
      <x:c r="N16" s="55" t="n">
        <x:f>M16/MAX(I16,1)</x:f>
        <x:v>20.402137170984812</x:v>
      </x:c>
      <x:c r="O16" s="52" t="n">
        <x:v>-13.810747</x:v>
      </x:c>
      <x:c r="P16" s="52" t="n">
        <x:v>53.62028</x:v>
      </x:c>
      <x:c r="Q16" s="52" t="n">
        <x:f>P16-O16</x:f>
        <x:v>67.431027</x:v>
      </x:c>
      <x:c r="R16" s="58" t="n">
        <x:v>96</x:v>
      </x:c>
      <x:c r="S16" s="58" t="n">
        <x:v>2</x:v>
      </x:c>
      <x:c r="T16" s="64" t="str">
        <x:v>profit_profitAmount</x:v>
      </x:c>
    </x:row>
    <x:row r="17">
      <x:c r="A17" s="61" t="str">
        <x:v>1859f521bc18d6feca1621208d3e7a93</x:v>
      </x:c>
      <x:c r="B17" s="64" t="str">
        <x:v>A类：当前真实与预测均亏损，Top1预测转正</x:v>
      </x:c>
      <x:c r="C17" s="64" t="str">
        <x:v>很高（≥2.0倍）</x:v>
      </x:c>
      <x:c r="D17" s="49" t="n">
        <x:v>46261</x:v>
      </x:c>
      <x:c r="E17" s="61" t="str">
        <x:v>10000292</x:v>
      </x:c>
      <x:c r="F17" s="46"/>
      <x:c r="G17" s="52" t="n">
        <x:v>-13.65</x:v>
      </x:c>
      <x:c r="H17" s="52" t="n">
        <x:v>-13.479509</x:v>
      </x:c>
      <x:c r="I17" s="52" t="n">
        <x:f>ABS(G17-H17)</x:f>
        <x:v>0.17049100000000017</x:v>
      </x:c>
      <x:c r="J17" s="61" t="str">
        <x:v>10000244</x:v>
      </x:c>
      <x:c r="K17" s="46" t="str">
        <x:v>B站专线-盒子V2</x:v>
      </x:c>
      <x:c r="L17" s="52" t="n">
        <x:v>6.745739</x:v>
      </x:c>
      <x:c r="M17" s="52" t="n">
        <x:f>L17-H17</x:f>
        <x:v>20.225248</x:v>
      </x:c>
      <x:c r="N17" s="55" t="n">
        <x:f>M17/MAX(I17,1)</x:f>
        <x:v>20.225248</x:v>
      </x:c>
      <x:c r="O17" s="52" t="n">
        <x:v>-10.672628</x:v>
      </x:c>
      <x:c r="P17" s="52" t="n">
        <x:v>13.900776</x:v>
      </x:c>
      <x:c r="Q17" s="52" t="n">
        <x:f>P17-O17</x:f>
        <x:v>24.573404</x:v>
      </x:c>
      <x:c r="R17" s="58" t="n">
        <x:v>1318</x:v>
      </x:c>
      <x:c r="S17" s="58" t="n">
        <x:v>7</x:v>
      </x:c>
      <x:c r="T17" s="64" t="str">
        <x:v>profit_profitAmount</x:v>
      </x:c>
    </x:row>
    <x:row r="18">
      <x:c r="A18" s="61" t="str">
        <x:v>95aca065fb746cd525fa051fea89f241</x:v>
      </x:c>
      <x:c r="B18" s="64" t="str">
        <x:v>A类：当前真实与预测均亏损，Top1预测转正</x:v>
      </x:c>
      <x:c r="C18" s="64" t="str">
        <x:v>很高（≥2.0倍）</x:v>
      </x:c>
      <x:c r="D18" s="49" t="n">
        <x:v>46261</x:v>
      </x:c>
      <x:c r="E18" s="61" t="str">
        <x:v>10000244</x:v>
      </x:c>
      <x:c r="F18" s="46" t="str">
        <x:v>B站专线-盒子V2</x:v>
      </x:c>
      <x:c r="G18" s="52" t="n">
        <x:v>-41.97</x:v>
      </x:c>
      <x:c r="H18" s="52" t="n">
        <x:v>-44.43537</x:v>
      </x:c>
      <x:c r="I18" s="52" t="n">
        <x:f>ABS(G18-H18)</x:f>
        <x:v>2.46537</x:v>
      </x:c>
      <x:c r="J18" s="61" t="str">
        <x:v>1382522065</x:v>
      </x:c>
      <x:c r="K18" s="46" t="str">
        <x:v>字节架构汇聚</x:v>
      </x:c>
      <x:c r="L18" s="52" t="n">
        <x:v>2.2120361</x:v>
      </x:c>
      <x:c r="M18" s="52" t="n">
        <x:f>L18-H18</x:f>
        <x:v>46.6474061</x:v>
      </x:c>
      <x:c r="N18" s="55" t="n">
        <x:f>M18/MAX(I18,1)</x:f>
        <x:v>18.92105692046224</x:v>
      </x:c>
      <x:c r="O18" s="52" t="n">
        <x:v>-52.072826</x:v>
      </x:c>
      <x:c r="P18" s="52" t="n">
        <x:v>13.0826435</x:v>
      </x:c>
      <x:c r="Q18" s="52" t="n">
        <x:f>P18-O18</x:f>
        <x:v>65.1554695</x:v>
      </x:c>
      <x:c r="R18" s="58" t="n">
        <x:v>19</x:v>
      </x:c>
      <x:c r="S18" s="58" t="n">
        <x:v>7</x:v>
      </x:c>
      <x:c r="T18" s="64" t="str">
        <x:v>profit_profitAmount</x:v>
      </x:c>
    </x:row>
    <x:row r="19">
      <x:c r="A19" s="61" t="str">
        <x:v>1003702791feaf04e77fa4996ee476b4</x:v>
      </x:c>
      <x:c r="B19" s="64" t="str">
        <x:v>A类：当前真实与预测均亏损，Top1预测转正</x:v>
      </x:c>
      <x:c r="C19" s="64" t="str">
        <x:v>很高（≥2.0倍）</x:v>
      </x:c>
      <x:c r="D19" s="49" t="n">
        <x:v>46261</x:v>
      </x:c>
      <x:c r="E19" s="61" t="str">
        <x:v>10000079</x:v>
      </x:c>
      <x:c r="F19" s="46" t="str">
        <x:v>字节架构汇聚V2</x:v>
      </x:c>
      <x:c r="G19" s="52" t="n">
        <x:v>-20.17</x:v>
      </x:c>
      <x:c r="H19" s="52" t="n">
        <x:v>-21.562279</x:v>
      </x:c>
      <x:c r="I19" s="52" t="n">
        <x:f>ABS(G19-H19)</x:f>
        <x:v>1.3922789999999985</x:v>
      </x:c>
      <x:c r="J19" s="61" t="str">
        <x:v>10000123</x:v>
      </x:c>
      <x:c r="K19" s="46" t="str">
        <x:v>金山云ern_HQ</x:v>
      </x:c>
      <x:c r="L19" s="52" t="n">
        <x:v>1.470792</x:v>
      </x:c>
      <x:c r="M19" s="52" t="n">
        <x:f>L19-H19</x:f>
        <x:v>23.033071</x:v>
      </x:c>
      <x:c r="N19" s="55" t="n">
        <x:f>M19/MAX(I19,1)</x:f>
        <x:v>16.54343059113872</x:v>
      </x:c>
      <x:c r="O19" s="52" t="n">
        <x:v>-16.653133</x:v>
      </x:c>
      <x:c r="P19" s="52" t="n">
        <x:v>18.780584</x:v>
      </x:c>
      <x:c r="Q19" s="52" t="n">
        <x:f>P19-O19</x:f>
        <x:v>35.433717</x:v>
      </x:c>
      <x:c r="R19" s="58" t="n">
        <x:v>350</x:v>
      </x:c>
      <x:c r="S19" s="58" t="n">
        <x:v>7</x:v>
      </x:c>
      <x:c r="T19" s="64" t="str">
        <x:v>profit_profitAmount</x:v>
      </x:c>
    </x:row>
    <x:row r="20">
      <x:c r="A20" s="61" t="str">
        <x:v>c3ea31719e807899e8149561f709c25b</x:v>
      </x:c>
      <x:c r="B20" s="64" t="str">
        <x:v>A类：当前真实与预测均亏损，Top1预测转正</x:v>
      </x:c>
      <x:c r="C20" s="64" t="str">
        <x:v>很高（≥2.0倍）</x:v>
      </x:c>
      <x:c r="D20" s="49" t="n">
        <x:v>46261</x:v>
      </x:c>
      <x:c r="E20" s="61" t="str">
        <x:v>10000300</x:v>
      </x:c>
      <x:c r="F20" s="46" t="str">
        <x:v>B站-晚高峰21点</x:v>
      </x:c>
      <x:c r="G20" s="52" t="n">
        <x:v>-43.14</x:v>
      </x:c>
      <x:c r="H20" s="52" t="n">
        <x:v>-39.57927</x:v>
      </x:c>
      <x:c r="I20" s="52" t="n">
        <x:f>ABS(G20-H20)</x:f>
        <x:v>3.5607299999999995</x:v>
      </x:c>
      <x:c r="J20" s="61" t="str">
        <x:v>1382522065</x:v>
      </x:c>
      <x:c r="K20" s="46" t="str">
        <x:v>字节架构汇聚</x:v>
      </x:c>
      <x:c r="L20" s="52" t="n">
        <x:v>11.709755</x:v>
      </x:c>
      <x:c r="M20" s="52" t="n">
        <x:f>L20-H20</x:f>
        <x:v>51.289025</x:v>
      </x:c>
      <x:c r="N20" s="55" t="n">
        <x:f>M20/MAX(I20,1)</x:f>
        <x:v>14.40407584961511</x:v>
      </x:c>
      <x:c r="O20" s="52" t="n">
        <x:v>-24.273718</x:v>
      </x:c>
      <x:c r="P20" s="52" t="n">
        <x:v>31.315397</x:v>
      </x:c>
      <x:c r="Q20" s="52" t="n">
        <x:f>P20-O20</x:f>
        <x:v>55.589115</x:v>
      </x:c>
      <x:c r="R20" s="58" t="n">
        <x:v>19</x:v>
      </x:c>
      <x:c r="S20" s="58" t="n">
        <x:v>7</x:v>
      </x:c>
      <x:c r="T20" s="64" t="str">
        <x:v>profit_profitAmount</x:v>
      </x:c>
    </x:row>
    <x:row r="21">
      <x:c r="A21" s="61" t="str">
        <x:v>3a8a9465c0daf65f4fa9afef4338bc74</x:v>
      </x:c>
      <x:c r="B21" s="64" t="str">
        <x:v>A类：当前真实与预测均亏损，Top1预测转正</x:v>
      </x:c>
      <x:c r="C21" s="64" t="str">
        <x:v>很高（≥2.0倍）</x:v>
      </x:c>
      <x:c r="D21" s="49" t="n">
        <x:v>46261</x:v>
      </x:c>
      <x:c r="E21" s="61" t="str">
        <x:v>10000079</x:v>
      </x:c>
      <x:c r="F21" s="46" t="str">
        <x:v>字节架构汇聚V2</x:v>
      </x:c>
      <x:c r="G21" s="52" t="n">
        <x:v>-23.43</x:v>
      </x:c>
      <x:c r="H21" s="52" t="n">
        <x:v>-20.668297</x:v>
      </x:c>
      <x:c r="I21" s="52" t="n">
        <x:f>ABS(G21-H21)</x:f>
        <x:v>2.7617030000000007</x:v>
      </x:c>
      <x:c r="J21" s="61" t="str">
        <x:v>10000300</x:v>
      </x:c>
      <x:c r="K21" s="46" t="str">
        <x:v>B站-晚高峰21点</x:v>
      </x:c>
      <x:c r="L21" s="52" t="n">
        <x:v>18.639732</x:v>
      </x:c>
      <x:c r="M21" s="52" t="n">
        <x:f>L21-H21</x:f>
        <x:v>39.308029</x:v>
      </x:c>
      <x:c r="N21" s="55" t="n">
        <x:f>M21/MAX(I21,1)</x:f>
        <x:v>14.233257160527394</x:v>
      </x:c>
      <x:c r="O21" s="52" t="n">
        <x:v>-19.616383</x:v>
      </x:c>
      <x:c r="P21" s="52" t="n">
        <x:v>16.660053</x:v>
      </x:c>
      <x:c r="Q21" s="52" t="n">
        <x:f>P21-O21</x:f>
        <x:v>36.276436000000004</x:v>
      </x:c>
      <x:c r="R21" s="58" t="n">
        <x:v>52</x:v>
      </x:c>
      <x:c r="S21" s="58" t="n">
        <x:v>7</x:v>
      </x:c>
      <x:c r="T21" s="64" t="str">
        <x:v>profit_profitAmount</x:v>
      </x:c>
    </x:row>
    <x:row r="22">
      <x:c r="A22" s="61" t="str">
        <x:v>3ab394907565056edffa223380cf86d2</x:v>
      </x:c>
      <x:c r="B22" s="64" t="str">
        <x:v>A类：当前真实与预测均亏损，Top1预测转正</x:v>
      </x:c>
      <x:c r="C22" s="64" t="str">
        <x:v>很高（≥2.0倍）</x:v>
      </x:c>
      <x:c r="D22" s="49" t="n">
        <x:v>46261</x:v>
      </x:c>
      <x:c r="E22" s="61" t="str">
        <x:v>10000304</x:v>
      </x:c>
      <x:c r="F22" s="46" t="str">
        <x:v>快手严选</x:v>
      </x:c>
      <x:c r="G22" s="52" t="n">
        <x:v>-4.04</x:v>
      </x:c>
      <x:c r="H22" s="52" t="n">
        <x:v>-4.6727815</x:v>
      </x:c>
      <x:c r="I22" s="52" t="n">
        <x:f>ABS(G22-H22)</x:f>
        <x:v>0.6327815000000001</x:v>
      </x:c>
      <x:c r="J22" s="61" t="str">
        <x:v>1382490022</x:v>
      </x:c>
      <x:c r="K22" s="46" t="str">
        <x:v>快手盒子</x:v>
      </x:c>
      <x:c r="L22" s="52" t="n">
        <x:v>9.070442</x:v>
      </x:c>
      <x:c r="M22" s="52" t="n">
        <x:f>L22-H22</x:f>
        <x:v>13.7432235</x:v>
      </x:c>
      <x:c r="N22" s="55" t="n">
        <x:f>M22/MAX(I22,1)</x:f>
        <x:v>13.7432235</x:v>
      </x:c>
      <x:c r="O22" s="52" t="n">
        <x:v>-14.521063</x:v>
      </x:c>
      <x:c r="P22" s="52" t="n">
        <x:v>17.27749</x:v>
      </x:c>
      <x:c r="Q22" s="52" t="n">
        <x:f>P22-O22</x:f>
        <x:v>31.798553</x:v>
      </x:c>
      <x:c r="R22" s="58" t="n">
        <x:v>76</x:v>
      </x:c>
      <x:c r="S22" s="58" t="n">
        <x:v>7</x:v>
      </x:c>
      <x:c r="T22" s="64" t="str">
        <x:v>profit_profitAmount</x:v>
      </x:c>
    </x:row>
    <x:row r="23">
      <x:c r="A23" s="61" t="str">
        <x:v>8ced3c8caa635da01607d284d74f2524</x:v>
      </x:c>
      <x:c r="B23" s="64" t="str">
        <x:v>A类：当前真实与预测均亏损，Top1预测转正</x:v>
      </x:c>
      <x:c r="C23" s="64" t="str">
        <x:v>很高（≥2.0倍）</x:v>
      </x:c>
      <x:c r="D23" s="49" t="n">
        <x:v>46261</x:v>
      </x:c>
      <x:c r="E23" s="61" t="str">
        <x:v>10000064</x:v>
      </x:c>
      <x:c r="F23" s="46" t="str">
        <x:v>百度小度</x:v>
      </x:c>
      <x:c r="G23" s="52" t="n">
        <x:v>-19.85</x:v>
      </x:c>
      <x:c r="H23" s="52" t="n">
        <x:v>-16.61625</x:v>
      </x:c>
      <x:c r="I23" s="52" t="n">
        <x:f>ABS(G23-H23)</x:f>
        <x:v>3.2337500000000006</x:v>
      </x:c>
      <x:c r="J23" s="61" t="str">
        <x:v>1382522065</x:v>
      </x:c>
      <x:c r="K23" s="46" t="str">
        <x:v>字节架构汇聚</x:v>
      </x:c>
      <x:c r="L23" s="52" t="n">
        <x:v>24.154503</x:v>
      </x:c>
      <x:c r="M23" s="52" t="n">
        <x:f>L23-H23</x:f>
        <x:v>40.770753</x:v>
      </x:c>
      <x:c r="N23" s="55" t="n">
        <x:f>M23/MAX(I23,1)</x:f>
        <x:v>12.607886509470427</x:v>
      </x:c>
      <x:c r="O23" s="52" t="n">
        <x:v>-15.890987</x:v>
      </x:c>
      <x:c r="P23" s="52" t="n">
        <x:v>30.113956</x:v>
      </x:c>
      <x:c r="Q23" s="52" t="n">
        <x:f>P23-O23</x:f>
        <x:v>46.004943000000004</x:v>
      </x:c>
      <x:c r="R23" s="58" t="n">
        <x:v>19</x:v>
      </x:c>
      <x:c r="S23" s="58" t="n">
        <x:v>6</x:v>
      </x:c>
      <x:c r="T23" s="64" t="str">
        <x:v>profit_profitAmount</x:v>
      </x:c>
    </x:row>
    <x:row r="24">
      <x:c r="A24" s="61" t="str">
        <x:v>9cd81cf6475e2a36c390e51d0f168207</x:v>
      </x:c>
      <x:c r="B24" s="64" t="str">
        <x:v>A类：当前真实与预测均亏损，Top1预测转正</x:v>
      </x:c>
      <x:c r="C24" s="64" t="str">
        <x:v>很高（≥2.0倍）</x:v>
      </x:c>
      <x:c r="D24" s="49" t="n">
        <x:v>46261</x:v>
      </x:c>
      <x:c r="E24" s="61" t="str">
        <x:v>1380389889</x:v>
      </x:c>
      <x:c r="F24" s="46" t="str">
        <x:v>爱奇艺盒子</x:v>
      </x:c>
      <x:c r="G24" s="52" t="n">
        <x:v>-1.13</x:v>
      </x:c>
      <x:c r="H24" s="52" t="n">
        <x:v>-0.47346747</x:v>
      </x:c>
      <x:c r="I24" s="52" t="n">
        <x:f>ABS(G24-H24)</x:f>
        <x:v>0.6565325299999999</x:v>
      </x:c>
      <x:c r="J24" s="61" t="str">
        <x:v>10000300</x:v>
      </x:c>
      <x:c r="K24" s="46" t="str">
        <x:v>B站-晚高峰21点</x:v>
      </x:c>
      <x:c r="L24" s="52" t="n">
        <x:v>9.118008</x:v>
      </x:c>
      <x:c r="M24" s="52" t="n">
        <x:f>L24-H24</x:f>
        <x:v>9.591475469999999</x:v>
      </x:c>
      <x:c r="N24" s="55" t="n">
        <x:f>M24/MAX(I24,1)</x:f>
        <x:v>9.591475469999999</x:v>
      </x:c>
      <x:c r="O24" s="52" t="n">
        <x:v>-6.095191</x:v>
      </x:c>
      <x:c r="P24" s="52" t="n">
        <x:v>13.594624</x:v>
      </x:c>
      <x:c r="Q24" s="52" t="n">
        <x:f>P24-O24</x:f>
        <x:v>19.689815</x:v>
      </x:c>
      <x:c r="R24" s="58" t="n">
        <x:v>52</x:v>
      </x:c>
      <x:c r="S24" s="58" t="n">
        <x:v>6</x:v>
      </x:c>
      <x:c r="T24" s="64" t="str">
        <x:v>profit_profitAmount</x:v>
      </x:c>
    </x:row>
    <x:row r="25">
      <x:c r="A25" s="61" t="str">
        <x:v>6c8393a8d5696de0ce001b5c1a245bbd</x:v>
      </x:c>
      <x:c r="B25" s="64" t="str">
        <x:v>A类：当前真实与预测均亏损，Top1预测转正</x:v>
      </x:c>
      <x:c r="C25" s="64" t="str">
        <x:v>很高（≥2.0倍）</x:v>
      </x:c>
      <x:c r="D25" s="49" t="n">
        <x:v>46261</x:v>
      </x:c>
      <x:c r="E25" s="61" t="str">
        <x:v>10000079</x:v>
      </x:c>
      <x:c r="F25" s="46" t="str">
        <x:v>字节架构汇聚V2</x:v>
      </x:c>
      <x:c r="G25" s="52" t="n">
        <x:v>-10.39</x:v>
      </x:c>
      <x:c r="H25" s="52" t="n">
        <x:v>-8.940971</x:v>
      </x:c>
      <x:c r="I25" s="52" t="n">
        <x:f>ABS(G25-H25)</x:f>
        <x:v>1.4490290000000012</x:v>
      </x:c>
      <x:c r="J25" s="61" t="str">
        <x:v>1382490022</x:v>
      </x:c>
      <x:c r="K25" s="46" t="str">
        <x:v>快手盒子</x:v>
      </x:c>
      <x:c r="L25" s="52" t="n">
        <x:v>2.194779</x:v>
      </x:c>
      <x:c r="M25" s="52" t="n">
        <x:f>L25-H25</x:f>
        <x:v>11.13575</x:v>
      </x:c>
      <x:c r="N25" s="55" t="n">
        <x:f>M25/MAX(I25,1)</x:f>
        <x:v>7.684973868707935</x:v>
      </x:c>
      <x:c r="O25" s="52" t="n">
        <x:v>-6.7895894</x:v>
      </x:c>
      <x:c r="P25" s="52" t="n">
        <x:v>10.053811</x:v>
      </x:c>
      <x:c r="Q25" s="52" t="n">
        <x:f>P25-O25</x:f>
        <x:v>16.8434004</x:v>
      </x:c>
      <x:c r="R25" s="58" t="n">
        <x:v>76</x:v>
      </x:c>
      <x:c r="S25" s="58" t="n">
        <x:v>3</x:v>
      </x:c>
      <x:c r="T25" s="64" t="str">
        <x:v>profit_profitAmount</x:v>
      </x:c>
    </x:row>
    <x:row r="26">
      <x:c r="A26" s="61" t="str">
        <x:v>5172d2239fa75c11850801cc405719af</x:v>
      </x:c>
      <x:c r="B26" s="64" t="str">
        <x:v>A类：当前真实与预测均亏损，Top1预测转正</x:v>
      </x:c>
      <x:c r="C26" s="64" t="str">
        <x:v>很高（≥2.0倍）</x:v>
      </x:c>
      <x:c r="D26" s="49" t="n">
        <x:v>46261</x:v>
      </x:c>
      <x:c r="E26" s="61" t="str">
        <x:v>10000079</x:v>
      </x:c>
      <x:c r="F26" s="46" t="str">
        <x:v>字节架构汇聚V2</x:v>
      </x:c>
      <x:c r="G26" s="52" t="n">
        <x:v>-4.09</x:v>
      </x:c>
      <x:c r="H26" s="52" t="n">
        <x:v>-0.10177612</x:v>
      </x:c>
      <x:c r="I26" s="52" t="n">
        <x:f>ABS(G26-H26)</x:f>
        <x:v>3.98822388</x:v>
      </x:c>
      <x:c r="J26" s="61" t="str">
        <x:v>1382490022</x:v>
      </x:c>
      <x:c r="K26" s="46" t="str">
        <x:v>快手盒子</x:v>
      </x:c>
      <x:c r="L26" s="52" t="n">
        <x:v>28.061882</x:v>
      </x:c>
      <x:c r="M26" s="52" t="n">
        <x:f>L26-H26</x:f>
        <x:v>28.16365812</x:v>
      </x:c>
      <x:c r="N26" s="55" t="n">
        <x:f>M26/MAX(I26,1)</x:f>
        <x:v>7.061704399603565</x:v>
      </x:c>
      <x:c r="O26" s="52" t="n">
        <x:v>9.93587</x:v>
      </x:c>
      <x:c r="P26" s="52" t="n">
        <x:v>86.31161</x:v>
      </x:c>
      <x:c r="Q26" s="52" t="n">
        <x:f>P26-O26</x:f>
        <x:v>76.37574000000001</x:v>
      </x:c>
      <x:c r="R26" s="58" t="n">
        <x:v>76</x:v>
      </x:c>
      <x:c r="S26" s="58" t="n">
        <x:v>6</x:v>
      </x:c>
      <x:c r="T26" s="64" t="str">
        <x:v>profit_profitAmount</x:v>
      </x:c>
    </x:row>
    <x:row r="27">
      <x:c r="A27" s="61" t="str">
        <x:v>abfb99330c99290d233d1599efe8f2c9</x:v>
      </x:c>
      <x:c r="B27" s="64" t="str">
        <x:v>A类：当前真实与预测均亏损，Top1预测转正</x:v>
      </x:c>
      <x:c r="C27" s="64" t="str">
        <x:v>很高（≥2.0倍）</x:v>
      </x:c>
      <x:c r="D27" s="49" t="n">
        <x:v>46261</x:v>
      </x:c>
      <x:c r="E27" s="61" t="str">
        <x:v>10000064</x:v>
      </x:c>
      <x:c r="F27" s="46" t="str">
        <x:v>百度小度</x:v>
      </x:c>
      <x:c r="G27" s="52" t="n">
        <x:v>-26.82</x:v>
      </x:c>
      <x:c r="H27" s="52" t="n">
        <x:v>-20.615776</x:v>
      </x:c>
      <x:c r="I27" s="52" t="n">
        <x:f>ABS(G27-H27)</x:f>
        <x:v>6.204224</x:v>
      </x:c>
      <x:c r="J27" s="61" t="str">
        <x:v>10000300</x:v>
      </x:c>
      <x:c r="K27" s="46" t="str">
        <x:v>B站-晚高峰21点</x:v>
      </x:c>
      <x:c r="L27" s="52" t="n">
        <x:v>19.633173</x:v>
      </x:c>
      <x:c r="M27" s="52" t="n">
        <x:f>L27-H27</x:f>
        <x:v>40.248948999999996</x:v>
      </x:c>
      <x:c r="N27" s="55" t="n">
        <x:f>M27/MAX(I27,1)</x:f>
        <x:v>6.487346201555585</x:v>
      </x:c>
      <x:c r="O27" s="52" t="n">
        <x:v>-15.776619</x:v>
      </x:c>
      <x:c r="P27" s="52" t="n">
        <x:v>33.841225</x:v>
      </x:c>
      <x:c r="Q27" s="52" t="n">
        <x:f>P27-O27</x:f>
        <x:v>49.617844000000005</x:v>
      </x:c>
      <x:c r="R27" s="58" t="n">
        <x:v>52</x:v>
      </x:c>
      <x:c r="S27" s="58" t="n">
        <x:v>7</x:v>
      </x:c>
      <x:c r="T27" s="64" t="str">
        <x:v>profit_profitAmount</x:v>
      </x:c>
    </x:row>
    <x:row r="28">
      <x:c r="A28" s="61" t="str">
        <x:v>ceeb90b3fd757ae83b49d0bb3c2e7841</x:v>
      </x:c>
      <x:c r="B28" s="64" t="str">
        <x:v>A类：当前真实与预测均亏损，Top1预测转正</x:v>
      </x:c>
      <x:c r="C28" s="64" t="str">
        <x:v>很高（≥2.0倍）</x:v>
      </x:c>
      <x:c r="D28" s="49" t="n">
        <x:v>46261</x:v>
      </x:c>
      <x:c r="E28" s="61" t="str">
        <x:v>10000304</x:v>
      </x:c>
      <x:c r="F28" s="46" t="str">
        <x:v>快手严选</x:v>
      </x:c>
      <x:c r="G28" s="52" t="n">
        <x:v>-8.87</x:v>
      </x:c>
      <x:c r="H28" s="52" t="n">
        <x:v>-15.174818</x:v>
      </x:c>
      <x:c r="I28" s="52" t="n">
        <x:f>ABS(G28-H28)</x:f>
        <x:v>6.304818000000001</x:v>
      </x:c>
      <x:c r="J28" s="61" t="str">
        <x:v>1382490022</x:v>
      </x:c>
      <x:c r="K28" s="46" t="str">
        <x:v>快手盒子</x:v>
      </x:c>
      <x:c r="L28" s="52" t="n">
        <x:v>24.47491</x:v>
      </x:c>
      <x:c r="M28" s="52" t="n">
        <x:f>L28-H28</x:f>
        <x:v>39.649728</x:v>
      </x:c>
      <x:c r="N28" s="55" t="n">
        <x:f>M28/MAX(I28,1)</x:f>
        <x:v>6.288798185768407</x:v>
      </x:c>
      <x:c r="O28" s="52" t="n">
        <x:v>-17.056696</x:v>
      </x:c>
      <x:c r="P28" s="52" t="n">
        <x:v>32.68018</x:v>
      </x:c>
      <x:c r="Q28" s="52" t="n">
        <x:f>P28-O28</x:f>
        <x:v>49.736875999999995</x:v>
      </x:c>
      <x:c r="R28" s="58" t="n">
        <x:v>76</x:v>
      </x:c>
      <x:c r="S28" s="58" t="n">
        <x:v>6</x:v>
      </x:c>
      <x:c r="T28" s="64" t="str">
        <x:v>profit_profitAmount</x:v>
      </x:c>
    </x:row>
    <x:row r="29">
      <x:c r="A29" s="61" t="str">
        <x:v>ba9be6cbc41a46b94b0f3082c0ad40d5</x:v>
      </x:c>
      <x:c r="B29" s="64" t="str">
        <x:v>A类：当前真实与预测均亏损，Top1预测转正</x:v>
      </x:c>
      <x:c r="C29" s="64" t="str">
        <x:v>很高（≥2.0倍）</x:v>
      </x:c>
      <x:c r="D29" s="49" t="n">
        <x:v>46260</x:v>
      </x:c>
      <x:c r="E29" s="61" t="str">
        <x:v>10000074</x:v>
      </x:c>
      <x:c r="F29" s="46" t="str">
        <x:v>腾讯直连独立</x:v>
      </x:c>
      <x:c r="G29" s="52" t="n">
        <x:v>-16.63</x:v>
      </x:c>
      <x:c r="H29" s="52" t="n">
        <x:v>-20.681633</x:v>
      </x:c>
      <x:c r="I29" s="52" t="n">
        <x:f>ABS(G29-H29)</x:f>
        <x:v>4.0516330000000025</x:v>
      </x:c>
      <x:c r="J29" s="61" t="str">
        <x:v>10000183</x:v>
      </x:c>
      <x:c r="K29" s="46" t="str">
        <x:v>B站专线-盒子</x:v>
      </x:c>
      <x:c r="L29" s="52" t="n">
        <x:v>4.020576</x:v>
      </x:c>
      <x:c r="M29" s="52" t="n">
        <x:f>L29-H29</x:f>
        <x:v>24.702209000000003</x:v>
      </x:c>
      <x:c r="N29" s="55" t="n">
        <x:f>M29/MAX(I29,1)</x:f>
        <x:v>6.096852553032318</x:v>
      </x:c>
      <x:c r="O29" s="52" t="n">
        <x:v>-18.554977</x:v>
      </x:c>
      <x:c r="P29" s="52" t="n">
        <x:v>59.84827</x:v>
      </x:c>
      <x:c r="Q29" s="52" t="n">
        <x:f>P29-O29</x:f>
        <x:v>78.403247</x:v>
      </x:c>
      <x:c r="R29" s="58" t="n">
        <x:v>96</x:v>
      </x:c>
      <x:c r="S29" s="58" t="n">
        <x:v>6</x:v>
      </x:c>
      <x:c r="T29" s="64" t="str">
        <x:v>profit_profitAmount</x:v>
      </x:c>
    </x:row>
    <x:row r="30">
      <x:c r="A30" s="61" t="str">
        <x:v>7aa450cd9cfa24d8ef656efc7ecd7f83</x:v>
      </x:c>
      <x:c r="B30" s="64" t="str">
        <x:v>A类：当前真实与预测均亏损，Top1预测转正</x:v>
      </x:c>
      <x:c r="C30" s="64" t="str">
        <x:v>很高（≥2.0倍）</x:v>
      </x:c>
      <x:c r="D30" s="49" t="n">
        <x:v>46261</x:v>
      </x:c>
      <x:c r="E30" s="61" t="str">
        <x:v>10000300</x:v>
      </x:c>
      <x:c r="F30" s="46" t="str">
        <x:v>B站-晚高峰21点</x:v>
      </x:c>
      <x:c r="G30" s="52" t="n">
        <x:v>-51.79</x:v>
      </x:c>
      <x:c r="H30" s="52" t="n">
        <x:v>-41.479805</x:v>
      </x:c>
      <x:c r="I30" s="52" t="n">
        <x:f>ABS(G30-H30)</x:f>
        <x:v>10.310195</x:v>
      </x:c>
      <x:c r="J30" s="61" t="str">
        <x:v>1382522065</x:v>
      </x:c>
      <x:c r="K30" s="46" t="str">
        <x:v>字节架构汇聚</x:v>
      </x:c>
      <x:c r="L30" s="52" t="n">
        <x:v>18.968826</x:v>
      </x:c>
      <x:c r="M30" s="52" t="n">
        <x:f>L30-H30</x:f>
        <x:v>60.448631</x:v>
      </x:c>
      <x:c r="N30" s="55" t="n">
        <x:f>M30/MAX(I30,1)</x:f>
        <x:v>5.8629958987196655</x:v>
      </x:c>
      <x:c r="O30" s="52" t="n">
        <x:v>-24.11235</x:v>
      </x:c>
      <x:c r="P30" s="52" t="n">
        <x:v>30.275248</x:v>
      </x:c>
      <x:c r="Q30" s="52" t="n">
        <x:f>P30-O30</x:f>
        <x:v>54.387598</x:v>
      </x:c>
      <x:c r="R30" s="58" t="n">
        <x:v>19</x:v>
      </x:c>
      <x:c r="S30" s="58" t="n">
        <x:v>7</x:v>
      </x:c>
      <x:c r="T30" s="64" t="str">
        <x:v>profit_profitAmount</x:v>
      </x:c>
    </x:row>
    <x:row r="31">
      <x:c r="A31" s="61" t="str">
        <x:v>9271df31479b37163d22016b815e7025</x:v>
      </x:c>
      <x:c r="B31" s="64" t="str">
        <x:v>A类：当前真实与预测均亏损，Top1预测转正</x:v>
      </x:c>
      <x:c r="C31" s="64" t="str">
        <x:v>很高（≥2.0倍）</x:v>
      </x:c>
      <x:c r="D31" s="49" t="n">
        <x:v>46261</x:v>
      </x:c>
      <x:c r="E31" s="61" t="str">
        <x:v>10000079</x:v>
      </x:c>
      <x:c r="F31" s="46" t="str">
        <x:v>字节架构汇聚V2</x:v>
      </x:c>
      <x:c r="G31" s="52" t="n">
        <x:v>-15.28</x:v>
      </x:c>
      <x:c r="H31" s="52" t="n">
        <x:v>-9.777046</x:v>
      </x:c>
      <x:c r="I31" s="52" t="n">
        <x:f>ABS(G31-H31)</x:f>
        <x:v>5.502953999999999</x:v>
      </x:c>
      <x:c r="J31" s="61" t="str">
        <x:v>10000300</x:v>
      </x:c>
      <x:c r="K31" s="46" t="str">
        <x:v>B站-晚高峰21点</x:v>
      </x:c>
      <x:c r="L31" s="52" t="n">
        <x:v>20.13381</x:v>
      </x:c>
      <x:c r="M31" s="52" t="n">
        <x:f>L31-H31</x:f>
        <x:v>29.910856000000003</x:v>
      </x:c>
      <x:c r="N31" s="55" t="n">
        <x:f>M31/MAX(I31,1)</x:f>
        <x:v>5.4354181408748845</x:v>
      </x:c>
      <x:c r="O31" s="52" t="n">
        <x:v>-10.838606</x:v>
      </x:c>
      <x:c r="P31" s="52" t="n">
        <x:v>26.127562</x:v>
      </x:c>
      <x:c r="Q31" s="52" t="n">
        <x:f>P31-O31</x:f>
        <x:v>36.966168</x:v>
      </x:c>
      <x:c r="R31" s="58" t="n">
        <x:v>52</x:v>
      </x:c>
      <x:c r="S31" s="58" t="n">
        <x:v>7</x:v>
      </x:c>
      <x:c r="T31" s="64" t="str">
        <x:v>profit_profitAmount</x:v>
      </x:c>
    </x:row>
    <x:row r="32">
      <x:c r="A32" s="61" t="str">
        <x:v>016d4d366b70678c8b0f724f5284b305</x:v>
      </x:c>
      <x:c r="B32" s="64" t="str">
        <x:v>A类：当前真实与预测均亏损，Top1预测转正</x:v>
      </x:c>
      <x:c r="C32" s="64" t="str">
        <x:v>很高（≥2.0倍）</x:v>
      </x:c>
      <x:c r="D32" s="49" t="n">
        <x:v>46261</x:v>
      </x:c>
      <x:c r="E32" s="61" t="str">
        <x:v>10000079</x:v>
      </x:c>
      <x:c r="F32" s="46" t="str">
        <x:v>字节架构汇聚V2</x:v>
      </x:c>
      <x:c r="G32" s="52" t="n">
        <x:v>-0.2</x:v>
      </x:c>
      <x:c r="H32" s="52" t="n">
        <x:v>-3.5922837</x:v>
      </x:c>
      <x:c r="I32" s="52" t="n">
        <x:f>ABS(G32-H32)</x:f>
        <x:v>3.3922836999999997</x:v>
      </x:c>
      <x:c r="J32" s="61" t="str">
        <x:v>1382490022</x:v>
      </x:c>
      <x:c r="K32" s="46" t="str">
        <x:v>快手盒子</x:v>
      </x:c>
      <x:c r="L32" s="52" t="n">
        <x:v>14.656542</x:v>
      </x:c>
      <x:c r="M32" s="52" t="n">
        <x:f>L32-H32</x:f>
        <x:v>18.2488257</x:v>
      </x:c>
      <x:c r="N32" s="55" t="n">
        <x:f>M32/MAX(I32,1)</x:f>
        <x:v>5.379510475494724</x:v>
      </x:c>
      <x:c r="O32" s="52" t="n">
        <x:v>-9.325706</x:v>
      </x:c>
      <x:c r="P32" s="52" t="n">
        <x:v>31.176537</x:v>
      </x:c>
      <x:c r="Q32" s="52" t="n">
        <x:f>P32-O32</x:f>
        <x:v>40.502243</x:v>
      </x:c>
      <x:c r="R32" s="58" t="n">
        <x:v>76</x:v>
      </x:c>
      <x:c r="S32" s="58" t="n">
        <x:v>7</x:v>
      </x:c>
      <x:c r="T32" s="64" t="str">
        <x:v>profit_profitAmount</x:v>
      </x:c>
    </x:row>
    <x:row r="33">
      <x:c r="A33" s="61" t="str">
        <x:v>8b7c4693d16d8688ba1ebdc02a005996</x:v>
      </x:c>
      <x:c r="B33" s="64" t="str">
        <x:v>A类：当前真实与预测均亏损，Top1预测转正</x:v>
      </x:c>
      <x:c r="C33" s="64" t="str">
        <x:v>很高（≥2.0倍）</x:v>
      </x:c>
      <x:c r="D33" s="49" t="n">
        <x:v>46261</x:v>
      </x:c>
      <x:c r="E33" s="61" t="str">
        <x:v>10000300</x:v>
      </x:c>
      <x:c r="F33" s="46" t="str">
        <x:v>B站-晚高峰21点</x:v>
      </x:c>
      <x:c r="G33" s="52" t="n">
        <x:v>-120.51</x:v>
      </x:c>
      <x:c r="H33" s="52" t="n">
        <x:v>-60.482204</x:v>
      </x:c>
      <x:c r="I33" s="52" t="n">
        <x:f>ABS(G33-H33)</x:f>
        <x:v>60.027796</x:v>
      </x:c>
      <x:c r="J33" s="61" t="str">
        <x:v>10000312</x:v>
      </x:c>
      <x:c r="K33" s="46" t="str">
        <x:v>金山云闲时</x:v>
      </x:c>
      <x:c r="L33" s="52" t="n">
        <x:v>231.73465</x:v>
      </x:c>
      <x:c r="M33" s="52" t="n">
        <x:f>L33-H33</x:f>
        <x:v>292.216854</x:v>
      </x:c>
      <x:c r="N33" s="55" t="n">
        <x:f>M33/MAX(I33,1)</x:f>
        <x:v>4.868025705957953</x:v>
      </x:c>
      <x:c r="O33" s="52" t="n">
        <x:v>-40.06543</x:v>
      </x:c>
      <x:c r="P33" s="52" t="n">
        <x:v>244.44989</x:v>
      </x:c>
      <x:c r="Q33" s="52" t="n">
        <x:f>P33-O33</x:f>
        <x:v>284.51532000000003</x:v>
      </x:c>
      <x:c r="R33" s="58" t="n">
        <x:v>22</x:v>
      </x:c>
      <x:c r="S33" s="58" t="n">
        <x:v>4</x:v>
      </x:c>
      <x:c r="T33" s="64" t="str">
        <x:v>profit_profitAmount</x:v>
      </x:c>
    </x:row>
    <x:row r="34">
      <x:c r="A34" s="61" t="str">
        <x:v>14d582362a25ace91a179ad2ff4b6c57</x:v>
      </x:c>
      <x:c r="B34" s="64" t="str">
        <x:v>A类：当前真实与预测均亏损，Top1预测转正</x:v>
      </x:c>
      <x:c r="C34" s="64" t="str">
        <x:v>很高（≥2.0倍）</x:v>
      </x:c>
      <x:c r="D34" s="49" t="n">
        <x:v>46261</x:v>
      </x:c>
      <x:c r="E34" s="61" t="str">
        <x:v>10000244</x:v>
      </x:c>
      <x:c r="F34" s="46" t="str">
        <x:v>B站专线-盒子V2</x:v>
      </x:c>
      <x:c r="G34" s="52" t="n">
        <x:v>-4.35</x:v>
      </x:c>
      <x:c r="H34" s="52" t="n">
        <x:v>-0.5923691</x:v>
      </x:c>
      <x:c r="I34" s="52" t="n">
        <x:f>ABS(G34-H34)</x:f>
        <x:v>3.7576308999999997</x:v>
      </x:c>
      <x:c r="J34" s="61" t="str">
        <x:v>10000292</x:v>
      </x:c>
      <x:c r="K34" s="46" t="str">
        <x:v>__MISSING__</x:v>
      </x:c>
      <x:c r="L34" s="52" t="n">
        <x:v>17.141182</x:v>
      </x:c>
      <x:c r="M34" s="52" t="n">
        <x:f>L34-H34</x:f>
        <x:v>17.7335511</x:v>
      </x:c>
      <x:c r="N34" s="55" t="n">
        <x:f>M34/MAX(I34,1)</x:f>
        <x:v>4.71934353637554</x:v>
      </x:c>
      <x:c r="O34" s="52" t="n">
        <x:v>-6.716394</x:v>
      </x:c>
      <x:c r="P34" s="52" t="n">
        <x:v>21.18396</x:v>
      </x:c>
      <x:c r="Q34" s="52" t="n">
        <x:f>P34-O34</x:f>
        <x:v>27.900354</x:v>
      </x:c>
      <x:c r="R34" s="58" t="n">
        <x:v>1647</x:v>
      </x:c>
      <x:c r="S34" s="58" t="n">
        <x:v>7</x:v>
      </x:c>
      <x:c r="T34" s="64" t="str">
        <x:v>profit_profitAmount</x:v>
      </x:c>
    </x:row>
    <x:row r="35">
      <x:c r="A35" s="61" t="str">
        <x:v>edc128854a8d71a2a562dea18239777d</x:v>
      </x:c>
      <x:c r="B35" s="64" t="str">
        <x:v>A类：当前真实与预测均亏损，Top1预测转正</x:v>
      </x:c>
      <x:c r="C35" s="64" t="str">
        <x:v>很高（≥2.0倍）</x:v>
      </x:c>
      <x:c r="D35" s="49" t="n">
        <x:v>46261</x:v>
      </x:c>
      <x:c r="E35" s="61" t="str">
        <x:v>10000079</x:v>
      </x:c>
      <x:c r="F35" s="46" t="str">
        <x:v>字节架构汇聚V2</x:v>
      </x:c>
      <x:c r="G35" s="52" t="n">
        <x:v>-10.61</x:v>
      </x:c>
      <x:c r="H35" s="52" t="n">
        <x:v>-6.5262995</x:v>
      </x:c>
      <x:c r="I35" s="52" t="n">
        <x:f>ABS(G35-H35)</x:f>
        <x:v>4.083700499999999</x:v>
      </x:c>
      <x:c r="J35" s="61" t="str">
        <x:v>10000300</x:v>
      </x:c>
      <x:c r="K35" s="46" t="str">
        <x:v>B站-晚高峰21点</x:v>
      </x:c>
      <x:c r="L35" s="52" t="n">
        <x:v>11.738913</x:v>
      </x:c>
      <x:c r="M35" s="52" t="n">
        <x:f>L35-H35</x:f>
        <x:v>18.2652125</x:v>
      </x:c>
      <x:c r="N35" s="55" t="n">
        <x:f>M35/MAX(I35,1)</x:f>
        <x:v>4.472711086427617</x:v>
      </x:c>
      <x:c r="O35" s="52" t="n">
        <x:v>-10.627204</x:v>
      </x:c>
      <x:c r="P35" s="52" t="n">
        <x:v>25.059244</x:v>
      </x:c>
      <x:c r="Q35" s="52" t="n">
        <x:f>P35-O35</x:f>
        <x:v>35.686448</x:v>
      </x:c>
      <x:c r="R35" s="58" t="n">
        <x:v>52</x:v>
      </x:c>
      <x:c r="S35" s="58" t="n">
        <x:v>7</x:v>
      </x:c>
      <x:c r="T35" s="64" t="str">
        <x:v>profit_profitAmount</x:v>
      </x:c>
    </x:row>
    <x:row r="36">
      <x:c r="A36" s="61" t="str">
        <x:v>9cee13560d068556b5345438b98efc4d</x:v>
      </x:c>
      <x:c r="B36" s="64" t="str">
        <x:v>A类：当前真实与预测均亏损，Top1预测转正</x:v>
      </x:c>
      <x:c r="C36" s="64" t="str">
        <x:v>很高（≥2.0倍）</x:v>
      </x:c>
      <x:c r="D36" s="49" t="n">
        <x:v>46261</x:v>
      </x:c>
      <x:c r="E36" s="61" t="str">
        <x:v>10000292</x:v>
      </x:c>
      <x:c r="F36" s="46"/>
      <x:c r="G36" s="52" t="n">
        <x:v>-0.78</x:v>
      </x:c>
      <x:c r="H36" s="52" t="n">
        <x:v>-13.914469</x:v>
      </x:c>
      <x:c r="I36" s="52" t="n">
        <x:f>ABS(G36-H36)</x:f>
        <x:v>13.134469000000001</x:v>
      </x:c>
      <x:c r="J36" s="61" t="str">
        <x:v>1382490022</x:v>
      </x:c>
      <x:c r="K36" s="46" t="str">
        <x:v>快手盒子</x:v>
      </x:c>
      <x:c r="L36" s="52" t="n">
        <x:v>40.70902</x:v>
      </x:c>
      <x:c r="M36" s="52" t="n">
        <x:f>L36-H36</x:f>
        <x:v>54.623489000000006</x:v>
      </x:c>
      <x:c r="N36" s="55" t="n">
        <x:f>M36/MAX(I36,1)</x:f>
        <x:v>4.1587892894642335</x:v>
      </x:c>
      <x:c r="O36" s="52" t="n">
        <x:v>-2.671896</x:v>
      </x:c>
      <x:c r="P36" s="52" t="n">
        <x:v>60.927887</x:v>
      </x:c>
      <x:c r="Q36" s="52" t="n">
        <x:f>P36-O36</x:f>
        <x:v>63.599782999999995</x:v>
      </x:c>
      <x:c r="R36" s="58" t="n">
        <x:v>76</x:v>
      </x:c>
      <x:c r="S36" s="58" t="n">
        <x:v>7</x:v>
      </x:c>
      <x:c r="T36" s="64" t="str">
        <x:v>profit_profitAmount</x:v>
      </x:c>
    </x:row>
    <x:row r="37">
      <x:c r="A37" s="61" t="str">
        <x:v>b6b0591766a556f05e5e6615b99425ec</x:v>
      </x:c>
      <x:c r="B37" s="64" t="str">
        <x:v>A类：当前真实与预测均亏损，Top1预测转正</x:v>
      </x:c>
      <x:c r="C37" s="64" t="str">
        <x:v>很高（≥2.0倍）</x:v>
      </x:c>
      <x:c r="D37" s="49" t="n">
        <x:v>46261</x:v>
      </x:c>
      <x:c r="E37" s="61" t="str">
        <x:v>10000300</x:v>
      </x:c>
      <x:c r="F37" s="46" t="str">
        <x:v>B站-晚高峰21点</x:v>
      </x:c>
      <x:c r="G37" s="52" t="n">
        <x:v>-23.84</x:v>
      </x:c>
      <x:c r="H37" s="52" t="n">
        <x:v>-33.76468</x:v>
      </x:c>
      <x:c r="I37" s="52" t="n">
        <x:f>ABS(G37-H37)</x:f>
        <x:v>9.924679999999999</x:v>
      </x:c>
      <x:c r="J37" s="61" t="str">
        <x:v>1382522065</x:v>
      </x:c>
      <x:c r="K37" s="46" t="str">
        <x:v>字节架构汇聚</x:v>
      </x:c>
      <x:c r="L37" s="52" t="n">
        <x:v>7.1450214</x:v>
      </x:c>
      <x:c r="M37" s="52" t="n">
        <x:f>L37-H37</x:f>
        <x:v>40.909701399999996</x:v>
      </x:c>
      <x:c r="N37" s="55" t="n">
        <x:f>M37/MAX(I37,1)</x:f>
        <x:v>4.12201717334967</x:v>
      </x:c>
      <x:c r="O37" s="52" t="n">
        <x:v>-23.957592</x:v>
      </x:c>
      <x:c r="P37" s="52" t="n">
        <x:v>28.557756</x:v>
      </x:c>
      <x:c r="Q37" s="52" t="n">
        <x:f>P37-O37</x:f>
        <x:v>52.515348</x:v>
      </x:c>
      <x:c r="R37" s="58" t="n">
        <x:v>19</x:v>
      </x:c>
      <x:c r="S37" s="58" t="n">
        <x:v>7</x:v>
      </x:c>
      <x:c r="T37" s="64" t="str">
        <x:v>profit_profitAmount</x:v>
      </x:c>
    </x:row>
    <x:row r="38">
      <x:c r="A38" s="61" t="str">
        <x:v>463a16b7fab056eeb3bca2de22d0c0c5</x:v>
      </x:c>
      <x:c r="B38" s="64" t="str">
        <x:v>A类：当前真实与预测均亏损，Top1预测转正</x:v>
      </x:c>
      <x:c r="C38" s="64" t="str">
        <x:v>很高（≥2.0倍）</x:v>
      </x:c>
      <x:c r="D38" s="49" t="n">
        <x:v>46260</x:v>
      </x:c>
      <x:c r="E38" s="61" t="str">
        <x:v>10000064</x:v>
      </x:c>
      <x:c r="F38" s="46" t="str">
        <x:v>百度小度</x:v>
      </x:c>
      <x:c r="G38" s="52" t="n">
        <x:v>-18.68</x:v>
      </x:c>
      <x:c r="H38" s="52" t="n">
        <x:v>-7.73991</x:v>
      </x:c>
      <x:c r="I38" s="52" t="n">
        <x:f>ABS(G38-H38)</x:f>
        <x:v>10.94009</x:v>
      </x:c>
      <x:c r="J38" s="61" t="str">
        <x:v>1382490022</x:v>
      </x:c>
      <x:c r="K38" s="46" t="str">
        <x:v>快手盒子</x:v>
      </x:c>
      <x:c r="L38" s="52" t="n">
        <x:v>36.718597</x:v>
      </x:c>
      <x:c r="M38" s="52" t="n">
        <x:f>L38-H38</x:f>
        <x:v>44.458507000000004</x:v>
      </x:c>
      <x:c r="N38" s="55" t="n">
        <x:f>M38/MAX(I38,1)</x:f>
        <x:v>4.063815471353527</x:v>
      </x:c>
      <x:c r="O38" s="52" t="n">
        <x:v>-12.924482</x:v>
      </x:c>
      <x:c r="P38" s="52" t="n">
        <x:v>33.17873</x:v>
      </x:c>
      <x:c r="Q38" s="52" t="n">
        <x:f>P38-O38</x:f>
        <x:v>46.103212</x:v>
      </x:c>
      <x:c r="R38" s="58" t="n">
        <x:v>76</x:v>
      </x:c>
      <x:c r="S38" s="58" t="n">
        <x:v>1</x:v>
      </x:c>
      <x:c r="T38" s="64" t="str">
        <x:v>profit_profitAmount</x:v>
      </x:c>
    </x:row>
    <x:row r="39">
      <x:c r="A39" s="61" t="str">
        <x:v>c1ccb8455e16ecbfbaf94f8fe13cbd51</x:v>
      </x:c>
      <x:c r="B39" s="64" t="str">
        <x:v>A类：当前真实与预测均亏损，Top1预测转正</x:v>
      </x:c>
      <x:c r="C39" s="64" t="str">
        <x:v>很高（≥2.0倍）</x:v>
      </x:c>
      <x:c r="D39" s="49" t="n">
        <x:v>46261</x:v>
      </x:c>
      <x:c r="E39" s="61" t="str">
        <x:v>10000292</x:v>
      </x:c>
      <x:c r="F39" s="46"/>
      <x:c r="G39" s="52" t="n">
        <x:v>-1.01</x:v>
      </x:c>
      <x:c r="H39" s="52" t="n">
        <x:v>-6.0181885</x:v>
      </x:c>
      <x:c r="I39" s="52" t="n">
        <x:f>ABS(G39-H39)</x:f>
        <x:v>5.0081885</x:v>
      </x:c>
      <x:c r="J39" s="61" t="str">
        <x:v>1382522065</x:v>
      </x:c>
      <x:c r="K39" s="46" t="str">
        <x:v>字节架构汇聚</x:v>
      </x:c>
      <x:c r="L39" s="52" t="n">
        <x:v>14.263323</x:v>
      </x:c>
      <x:c r="M39" s="52" t="n">
        <x:f>L39-H39</x:f>
        <x:v>20.2815115</x:v>
      </x:c>
      <x:c r="N39" s="55" t="n">
        <x:f>M39/MAX(I39,1)</x:f>
        <x:v>4.049670155186851</x:v>
      </x:c>
      <x:c r="O39" s="52" t="n">
        <x:v>-9.343261</x:v>
      </x:c>
      <x:c r="P39" s="52" t="n">
        <x:v>14.644407</x:v>
      </x:c>
      <x:c r="Q39" s="52" t="n">
        <x:f>P39-O39</x:f>
        <x:v>23.987668</x:v>
      </x:c>
      <x:c r="R39" s="58" t="n">
        <x:v>19</x:v>
      </x:c>
      <x:c r="S39" s="58" t="n">
        <x:v>7</x:v>
      </x:c>
      <x:c r="T39" s="64" t="str">
        <x:v>profit_profitAmount</x:v>
      </x:c>
    </x:row>
    <x:row r="40">
      <x:c r="A40" s="61" t="str">
        <x:v>d8fd5f5db4a5277d57aba6a9b58f5b76</x:v>
      </x:c>
      <x:c r="B40" s="64" t="str">
        <x:v>A类：当前真实与预测均亏损，Top1预测转正</x:v>
      </x:c>
      <x:c r="C40" s="64" t="str">
        <x:v>很高（≥2.0倍）</x:v>
      </x:c>
      <x:c r="D40" s="49" t="n">
        <x:v>46261</x:v>
      </x:c>
      <x:c r="E40" s="61" t="str">
        <x:v>10000304</x:v>
      </x:c>
      <x:c r="F40" s="46" t="str">
        <x:v>快手严选</x:v>
      </x:c>
      <x:c r="G40" s="52" t="n">
        <x:v>-1.37</x:v>
      </x:c>
      <x:c r="H40" s="52" t="n">
        <x:v>-7.218809</x:v>
      </x:c>
      <x:c r="I40" s="52" t="n">
        <x:f>ABS(G40-H40)</x:f>
        <x:v>5.848809</x:v>
      </x:c>
      <x:c r="J40" s="61" t="str">
        <x:v>1382490022</x:v>
      </x:c>
      <x:c r="K40" s="46" t="str">
        <x:v>快手盒子</x:v>
      </x:c>
      <x:c r="L40" s="52" t="n">
        <x:v>15.867736</x:v>
      </x:c>
      <x:c r="M40" s="52" t="n">
        <x:f>L40-H40</x:f>
        <x:v>23.086545</x:v>
      </x:c>
      <x:c r="N40" s="55" t="n">
        <x:f>M40/MAX(I40,1)</x:f>
        <x:v>3.947221562543759</x:v>
      </x:c>
      <x:c r="O40" s="52" t="n">
        <x:v>-15.585603</x:v>
      </x:c>
      <x:c r="P40" s="52" t="n">
        <x:v>18.265123</x:v>
      </x:c>
      <x:c r="Q40" s="52" t="n">
        <x:f>P40-O40</x:f>
        <x:v>33.850726</x:v>
      </x:c>
      <x:c r="R40" s="58" t="n">
        <x:v>76</x:v>
      </x:c>
      <x:c r="S40" s="58" t="n">
        <x:v>7</x:v>
      </x:c>
      <x:c r="T40" s="64" t="str">
        <x:v>profit_profitAmount</x:v>
      </x:c>
    </x:row>
    <x:row r="41">
      <x:c r="A41" s="61" t="str">
        <x:v>8b4c7543444108596505922eda691317</x:v>
      </x:c>
      <x:c r="B41" s="64" t="str">
        <x:v>A类：当前真实与预测均亏损，Top1预测转正</x:v>
      </x:c>
      <x:c r="C41" s="64" t="str">
        <x:v>很高（≥2.0倍）</x:v>
      </x:c>
      <x:c r="D41" s="49" t="n">
        <x:v>46261</x:v>
      </x:c>
      <x:c r="E41" s="61" t="str">
        <x:v>10000069</x:v>
      </x:c>
      <x:c r="F41" s="46" t="str">
        <x:v>腾讯汇聚P2P</x:v>
      </x:c>
      <x:c r="G41" s="52" t="n">
        <x:v>-47.22</x:v>
      </x:c>
      <x:c r="H41" s="52" t="n">
        <x:v>-93.29367</x:v>
      </x:c>
      <x:c r="I41" s="52" t="n">
        <x:f>ABS(G41-H41)</x:f>
        <x:v>46.07367000000001</x:v>
      </x:c>
      <x:c r="J41" s="61" t="str">
        <x:v>10000183</x:v>
      </x:c>
      <x:c r="K41" s="46" t="str">
        <x:v>B站专线-盒子</x:v>
      </x:c>
      <x:c r="L41" s="52" t="n">
        <x:v>85.98724</x:v>
      </x:c>
      <x:c r="M41" s="52" t="n">
        <x:f>L41-H41</x:f>
        <x:v>179.28091</x:v>
      </x:c>
      <x:c r="N41" s="55" t="n">
        <x:f>M41/MAX(I41,1)</x:f>
        <x:v>3.891179278750748</x:v>
      </x:c>
      <x:c r="O41" s="52" t="n">
        <x:v>-28.537273</x:v>
      </x:c>
      <x:c r="P41" s="52" t="n">
        <x:v>43.695255</x:v>
      </x:c>
      <x:c r="Q41" s="52" t="n">
        <x:f>P41-O41</x:f>
        <x:v>72.232528</x:v>
      </x:c>
      <x:c r="R41" s="58" t="n">
        <x:v>96</x:v>
      </x:c>
      <x:c r="S41" s="58" t="n">
        <x:v>7</x:v>
      </x:c>
      <x:c r="T41" s="64" t="str">
        <x:v>profit_profitAmount</x:v>
      </x:c>
    </x:row>
    <x:row r="42">
      <x:c r="A42" s="61" t="str">
        <x:v>6e972fc3bfcb9969dba2286d84663163</x:v>
      </x:c>
      <x:c r="B42" s="64" t="str">
        <x:v>A类：当前真实与预测均亏损，Top1预测转正</x:v>
      </x:c>
      <x:c r="C42" s="64" t="str">
        <x:v>很高（≥2.0倍）</x:v>
      </x:c>
      <x:c r="D42" s="49" t="n">
        <x:v>46261</x:v>
      </x:c>
      <x:c r="E42" s="61" t="str">
        <x:v>10000079</x:v>
      </x:c>
      <x:c r="F42" s="46" t="str">
        <x:v>字节架构汇聚V2</x:v>
      </x:c>
      <x:c r="G42" s="52" t="n">
        <x:v>-25.13</x:v>
      </x:c>
      <x:c r="H42" s="52" t="n">
        <x:v>-19.596998</x:v>
      </x:c>
      <x:c r="I42" s="52" t="n">
        <x:f>ABS(G42-H42)</x:f>
        <x:v>5.533002</x:v>
      </x:c>
      <x:c r="J42" s="61" t="str">
        <x:v>1382490022</x:v>
      </x:c>
      <x:c r="K42" s="46" t="str">
        <x:v>快手盒子</x:v>
      </x:c>
      <x:c r="L42" s="52" t="n">
        <x:v>1.8347383</x:v>
      </x:c>
      <x:c r="M42" s="52" t="n">
        <x:f>L42-H42</x:f>
        <x:v>21.4317363</x:v>
      </x:c>
      <x:c r="N42" s="55" t="n">
        <x:f>M42/MAX(I42,1)</x:f>
        <x:v>3.8734372949801936</x:v>
      </x:c>
      <x:c r="O42" s="52" t="n">
        <x:v>-13.726208</x:v>
      </x:c>
      <x:c r="P42" s="52" t="n">
        <x:v>33.056847</x:v>
      </x:c>
      <x:c r="Q42" s="52" t="n">
        <x:f>P42-O42</x:f>
        <x:v>46.783055</x:v>
      </x:c>
      <x:c r="R42" s="58" t="n">
        <x:v>76</x:v>
      </x:c>
      <x:c r="S42" s="58" t="n">
        <x:v>6</x:v>
      </x:c>
      <x:c r="T42" s="64" t="str">
        <x:v>profit_profitAmount</x:v>
      </x:c>
    </x:row>
    <x:row r="43">
      <x:c r="A43" s="61" t="str">
        <x:v>7a1aaf8a11174be5f3d43fc082e21c5a</x:v>
      </x:c>
      <x:c r="B43" s="64" t="str">
        <x:v>A类：当前真实与预测均亏损，Top1预测转正</x:v>
      </x:c>
      <x:c r="C43" s="64" t="str">
        <x:v>很高（≥2.0倍）</x:v>
      </x:c>
      <x:c r="D43" s="49" t="n">
        <x:v>46261</x:v>
      </x:c>
      <x:c r="E43" s="61" t="str">
        <x:v>10000183</x:v>
      </x:c>
      <x:c r="F43" s="46" t="str">
        <x:v>B站专线-盒子</x:v>
      </x:c>
      <x:c r="G43" s="52" t="n">
        <x:v>-34.83</x:v>
      </x:c>
      <x:c r="H43" s="52" t="n">
        <x:v>-8.928078</x:v>
      </x:c>
      <x:c r="I43" s="52" t="n">
        <x:f>ABS(G43-H43)</x:f>
        <x:v>25.901922</x:v>
      </x:c>
      <x:c r="J43" s="61" t="str">
        <x:v>10000304</x:v>
      </x:c>
      <x:c r="K43" s="46" t="str">
        <x:v>快手严选</x:v>
      </x:c>
      <x:c r="L43" s="52" t="n">
        <x:v>89.802956</x:v>
      </x:c>
      <x:c r="M43" s="52" t="n">
        <x:f>L43-H43</x:f>
        <x:v>98.731034</x:v>
      </x:c>
      <x:c r="N43" s="55" t="n">
        <x:f>M43/MAX(I43,1)</x:f>
        <x:v>3.811726172289454</x:v>
      </x:c>
      <x:c r="O43" s="52" t="n">
        <x:v>2.4292872</x:v>
      </x:c>
      <x:c r="P43" s="52" t="n">
        <x:v>169.31778</x:v>
      </x:c>
      <x:c r="Q43" s="52" t="n">
        <x:f>P43-O43</x:f>
        <x:v>166.8884928</x:v>
      </x:c>
      <x:c r="R43" s="58" t="n">
        <x:v>393</x:v>
      </x:c>
      <x:c r="S43" s="58" t="n">
        <x:v>7</x:v>
      </x:c>
      <x:c r="T43" s="64" t="str">
        <x:v>profit_profitAmount</x:v>
      </x:c>
    </x:row>
    <x:row r="44">
      <x:c r="A44" s="61" t="str">
        <x:v>8095bf4f294dcd35595666c8f30bc92a</x:v>
      </x:c>
      <x:c r="B44" s="64" t="str">
        <x:v>A类：当前真实与预测均亏损，Top1预测转正</x:v>
      </x:c>
      <x:c r="C44" s="64" t="str">
        <x:v>很高（≥2.0倍）</x:v>
      </x:c>
      <x:c r="D44" s="49" t="n">
        <x:v>46261</x:v>
      </x:c>
      <x:c r="E44" s="61" t="str">
        <x:v>10000079</x:v>
      </x:c>
      <x:c r="F44" s="46" t="str">
        <x:v>字节架构汇聚V2</x:v>
      </x:c>
      <x:c r="G44" s="52" t="n">
        <x:v>-2.95</x:v>
      </x:c>
      <x:c r="H44" s="52" t="n">
        <x:v>-6.6764755</x:v>
      </x:c>
      <x:c r="I44" s="52" t="n">
        <x:f>ABS(G44-H44)</x:f>
        <x:v>3.7264754999999994</x:v>
      </x:c>
      <x:c r="J44" s="61" t="str">
        <x:v>10000123</x:v>
      </x:c>
      <x:c r="K44" s="46" t="str">
        <x:v>金山云ern_HQ</x:v>
      </x:c>
      <x:c r="L44" s="52" t="n">
        <x:v>6.6041775</x:v>
      </x:c>
      <x:c r="M44" s="52" t="n">
        <x:f>L44-H44</x:f>
        <x:v>13.280653</x:v>
      </x:c>
      <x:c r="N44" s="55" t="n">
        <x:f>M44/MAX(I44,1)</x:f>
        <x:v>3.563864300194648</x:v>
      </x:c>
      <x:c r="O44" s="52" t="n">
        <x:v>-1.6326067</x:v>
      </x:c>
      <x:c r="P44" s="52" t="n">
        <x:v>10.981494</x:v>
      </x:c>
      <x:c r="Q44" s="52" t="n">
        <x:f>P44-O44</x:f>
        <x:v>12.6141007</x:v>
      </x:c>
      <x:c r="R44" s="58" t="n">
        <x:v>350</x:v>
      </x:c>
      <x:c r="S44" s="58" t="n">
        <x:v>7</x:v>
      </x:c>
      <x:c r="T44" s="64" t="str">
        <x:v>profit_profitAmount</x:v>
      </x:c>
    </x:row>
    <x:row r="45">
      <x:c r="A45" s="61" t="str">
        <x:v>388504465efde7b5c82240d1325f4460</x:v>
      </x:c>
      <x:c r="B45" s="64" t="str">
        <x:v>A类：当前真实与预测均亏损，Top1预测转正</x:v>
      </x:c>
      <x:c r="C45" s="64" t="str">
        <x:v>很高（≥2.0倍）</x:v>
      </x:c>
      <x:c r="D45" s="49" t="n">
        <x:v>46261</x:v>
      </x:c>
      <x:c r="E45" s="61" t="str">
        <x:v>10000079</x:v>
      </x:c>
      <x:c r="F45" s="46" t="str">
        <x:v>字节架构汇聚V2</x:v>
      </x:c>
      <x:c r="G45" s="52" t="n">
        <x:v>-4.59</x:v>
      </x:c>
      <x:c r="H45" s="52" t="n">
        <x:v>-9.5992</x:v>
      </x:c>
      <x:c r="I45" s="52" t="n">
        <x:f>ABS(G45-H45)</x:f>
        <x:v>5.0092</x:v>
      </x:c>
      <x:c r="J45" s="61" t="str">
        <x:v>1382490022</x:v>
      </x:c>
      <x:c r="K45" s="46" t="str">
        <x:v>快手盒子</x:v>
      </x:c>
      <x:c r="L45" s="52" t="n">
        <x:v>8.09207</x:v>
      </x:c>
      <x:c r="M45" s="52" t="n">
        <x:f>L45-H45</x:f>
        <x:v>17.69127</x:v>
      </x:c>
      <x:c r="N45" s="55" t="n">
        <x:f>M45/MAX(I45,1)</x:f>
        <x:v>3.531755569751657</x:v>
      </x:c>
      <x:c r="O45" s="52" t="n">
        <x:v>-7.9219275</x:v>
      </x:c>
      <x:c r="P45" s="52" t="n">
        <x:v>16.41818</x:v>
      </x:c>
      <x:c r="Q45" s="52" t="n">
        <x:f>P45-O45</x:f>
        <x:v>24.3401075</x:v>
      </x:c>
      <x:c r="R45" s="58" t="n">
        <x:v>76</x:v>
      </x:c>
      <x:c r="S45" s="58" t="n">
        <x:v>7</x:v>
      </x:c>
      <x:c r="T45" s="64" t="str">
        <x:v>profit_profitAmount</x:v>
      </x:c>
    </x:row>
    <x:row r="46">
      <x:c r="A46" s="61" t="str">
        <x:v>69cc897e5c1f50613f30d1385ca39923</x:v>
      </x:c>
      <x:c r="B46" s="64" t="str">
        <x:v>A类：当前真实与预测均亏损，Top1预测转正</x:v>
      </x:c>
      <x:c r="C46" s="64" t="str">
        <x:v>很高（≥2.0倍）</x:v>
      </x:c>
      <x:c r="D46" s="49" t="n">
        <x:v>46261</x:v>
      </x:c>
      <x:c r="E46" s="61" t="str">
        <x:v>10000074</x:v>
      </x:c>
      <x:c r="F46" s="46" t="str">
        <x:v>腾讯直连独立</x:v>
      </x:c>
      <x:c r="G46" s="52" t="n">
        <x:v>-9.61</x:v>
      </x:c>
      <x:c r="H46" s="52" t="n">
        <x:v>-5.825717</x:v>
      </x:c>
      <x:c r="I46" s="52" t="n">
        <x:f>ABS(G46-H46)</x:f>
        <x:v>3.7842829999999994</x:v>
      </x:c>
      <x:c r="J46" s="61" t="str">
        <x:v>10000197</x:v>
      </x:c>
      <x:c r="K46" s="46" t="str">
        <x:v>天翼云V2</x:v>
      </x:c>
      <x:c r="L46" s="52" t="n">
        <x:v>7.4290366</x:v>
      </x:c>
      <x:c r="M46" s="52" t="n">
        <x:f>L46-H46</x:f>
        <x:v>13.2547536</x:v>
      </x:c>
      <x:c r="N46" s="55" t="n">
        <x:f>M46/MAX(I46,1)</x:f>
        <x:v>3.502579907475208</x:v>
      </x:c>
      <x:c r="O46" s="52" t="n">
        <x:v>-11.87822</x:v>
      </x:c>
      <x:c r="P46" s="52" t="n">
        <x:v>9.587204</x:v>
      </x:c>
      <x:c r="Q46" s="52" t="n">
        <x:f>P46-O46</x:f>
        <x:v>21.465424</x:v>
      </x:c>
      <x:c r="R46" s="58" t="n">
        <x:v>9</x:v>
      </x:c>
      <x:c r="S46" s="58" t="n">
        <x:v>7</x:v>
      </x:c>
      <x:c r="T46" s="64" t="str">
        <x:v>profit_profitAmount</x:v>
      </x:c>
    </x:row>
    <x:row r="47">
      <x:c r="A47" s="61" t="str">
        <x:v>8c5abcee8a8eee7db968708d92135bfc</x:v>
      </x:c>
      <x:c r="B47" s="64" t="str">
        <x:v>A类：当前真实与预测均亏损，Top1预测转正</x:v>
      </x:c>
      <x:c r="C47" s="64" t="str">
        <x:v>很高（≥2.0倍）</x:v>
      </x:c>
      <x:c r="D47" s="49" t="n">
        <x:v>46259</x:v>
      </x:c>
      <x:c r="E47" s="61" t="str">
        <x:v>10000069</x:v>
      </x:c>
      <x:c r="F47" s="46" t="str">
        <x:v>腾讯汇聚P2P</x:v>
      </x:c>
      <x:c r="G47" s="52" t="n">
        <x:v>-16.55</x:v>
      </x:c>
      <x:c r="H47" s="52" t="n">
        <x:v>-62.340656</x:v>
      </x:c>
      <x:c r="I47" s="52" t="n">
        <x:f>ABS(G47-H47)</x:f>
        <x:v>45.790656</x:v>
      </x:c>
      <x:c r="J47" s="61" t="str">
        <x:v>10000183</x:v>
      </x:c>
      <x:c r="K47" s="46" t="str">
        <x:v>B站专线-盒子</x:v>
      </x:c>
      <x:c r="L47" s="52" t="n">
        <x:v>96.31298</x:v>
      </x:c>
      <x:c r="M47" s="52" t="n">
        <x:f>L47-H47</x:f>
        <x:v>158.653636</x:v>
      </x:c>
      <x:c r="N47" s="55" t="n">
        <x:f>M47/MAX(I47,1)</x:f>
        <x:v>3.464760059344859</x:v>
      </x:c>
      <x:c r="O47" s="52" t="n">
        <x:v>-37.74198</x:v>
      </x:c>
      <x:c r="P47" s="52" t="n">
        <x:v>104.32074</x:v>
      </x:c>
      <x:c r="Q47" s="52" t="n">
        <x:f>P47-O47</x:f>
        <x:v>142.06272</x:v>
      </x:c>
      <x:c r="R47" s="58" t="n">
        <x:v>96</x:v>
      </x:c>
      <x:c r="S47" s="58" t="n">
        <x:v>4</x:v>
      </x:c>
      <x:c r="T47" s="64" t="str">
        <x:v>profit_profitAmount</x:v>
      </x:c>
    </x:row>
    <x:row r="48">
      <x:c r="A48" s="61" t="str">
        <x:v>c9cfa45556a90733248a2e1a7249cd47</x:v>
      </x:c>
      <x:c r="B48" s="64" t="str">
        <x:v>A类：当前真实与预测均亏损，Top1预测转正</x:v>
      </x:c>
      <x:c r="C48" s="64" t="str">
        <x:v>很高（≥2.0倍）</x:v>
      </x:c>
      <x:c r="D48" s="49" t="n">
        <x:v>46261</x:v>
      </x:c>
      <x:c r="E48" s="61" t="str">
        <x:v>10000079</x:v>
      </x:c>
      <x:c r="F48" s="46" t="str">
        <x:v>字节架构汇聚V2</x:v>
      </x:c>
      <x:c r="G48" s="52" t="n">
        <x:v>-7.11</x:v>
      </x:c>
      <x:c r="H48" s="52" t="n">
        <x:v>-2.6783953</x:v>
      </x:c>
      <x:c r="I48" s="52" t="n">
        <x:f>ABS(G48-H48)</x:f>
        <x:v>4.4316047</x:v>
      </x:c>
      <x:c r="J48" s="61" t="str">
        <x:v>10000300</x:v>
      </x:c>
      <x:c r="K48" s="46" t="str">
        <x:v>B站-晚高峰21点</x:v>
      </x:c>
      <x:c r="L48" s="52" t="n">
        <x:v>12.388288</x:v>
      </x:c>
      <x:c r="M48" s="52" t="n">
        <x:f>L48-H48</x:f>
        <x:v>15.0666833</x:v>
      </x:c>
      <x:c r="N48" s="55" t="n">
        <x:f>M48/MAX(I48,1)</x:f>
        <x:v>3.3998256432935</x:v>
      </x:c>
      <x:c r="O48" s="52" t="n">
        <x:v>7.5662456</x:v>
      </x:c>
      <x:c r="P48" s="52" t="n">
        <x:v>20.340029</x:v>
      </x:c>
      <x:c r="Q48" s="52" t="n">
        <x:f>P48-O48</x:f>
        <x:v>12.773783400000001</x:v>
      </x:c>
      <x:c r="R48" s="58" t="n">
        <x:v>52</x:v>
      </x:c>
      <x:c r="S48" s="58" t="n">
        <x:v>7</x:v>
      </x:c>
      <x:c r="T48" s="64" t="str">
        <x:v>profit_profitAmount</x:v>
      </x:c>
    </x:row>
    <x:row r="49">
      <x:c r="A49" s="61" t="str">
        <x:v>2378248244081399462beffe27111875</x:v>
      </x:c>
      <x:c r="B49" s="64" t="str">
        <x:v>A类：当前真实与预测均亏损，Top1预测转正</x:v>
      </x:c>
      <x:c r="C49" s="64" t="str">
        <x:v>很高（≥2.0倍）</x:v>
      </x:c>
      <x:c r="D49" s="49" t="n">
        <x:v>46261</x:v>
      </x:c>
      <x:c r="E49" s="61" t="str">
        <x:v>10000064</x:v>
      </x:c>
      <x:c r="F49" s="46" t="str">
        <x:v>百度小度</x:v>
      </x:c>
      <x:c r="G49" s="52" t="n">
        <x:v>-20.19</x:v>
      </x:c>
      <x:c r="H49" s="52" t="n">
        <x:v>-13.252308</x:v>
      </x:c>
      <x:c r="I49" s="52" t="n">
        <x:f>ABS(G49-H49)</x:f>
        <x:v>6.937692000000002</x:v>
      </x:c>
      <x:c r="J49" s="61" t="str">
        <x:v>10000300</x:v>
      </x:c>
      <x:c r="K49" s="46" t="str">
        <x:v>B站-晚高峰21点</x:v>
      </x:c>
      <x:c r="L49" s="52" t="n">
        <x:v>10.114747</x:v>
      </x:c>
      <x:c r="M49" s="52" t="n">
        <x:f>L49-H49</x:f>
        <x:v>23.367055</x:v>
      </x:c>
      <x:c r="N49" s="55" t="n">
        <x:f>M49/MAX(I49,1)</x:f>
        <x:v>3.3681309288449235</x:v>
      </x:c>
      <x:c r="O49" s="52" t="n">
        <x:v>-20.45448</x:v>
      </x:c>
      <x:c r="P49" s="52" t="n">
        <x:v>26.489288</x:v>
      </x:c>
      <x:c r="Q49" s="52" t="n">
        <x:f>P49-O49</x:f>
        <x:v>46.943768</x:v>
      </x:c>
      <x:c r="R49" s="58" t="n">
        <x:v>52</x:v>
      </x:c>
      <x:c r="S49" s="58" t="n">
        <x:v>7</x:v>
      </x:c>
      <x:c r="T49" s="64" t="str">
        <x:v>profit_profitAmount</x:v>
      </x:c>
    </x:row>
    <x:row r="50">
      <x:c r="A50" s="61" t="str">
        <x:v>9c5f450b19f08e702b2404d962082479</x:v>
      </x:c>
      <x:c r="B50" s="64" t="str">
        <x:v>A类：当前真实与预测均亏损，Top1预测转正</x:v>
      </x:c>
      <x:c r="C50" s="64" t="str">
        <x:v>很高（≥2.0倍）</x:v>
      </x:c>
      <x:c r="D50" s="49" t="n">
        <x:v>46261</x:v>
      </x:c>
      <x:c r="E50" s="61" t="str">
        <x:v>10000300</x:v>
      </x:c>
      <x:c r="F50" s="46" t="str">
        <x:v>B站-晚高峰21点</x:v>
      </x:c>
      <x:c r="G50" s="52" t="n">
        <x:v>-44.13</x:v>
      </x:c>
      <x:c r="H50" s="52" t="n">
        <x:v>-30.565432</x:v>
      </x:c>
      <x:c r="I50" s="52" t="n">
        <x:f>ABS(G50-H50)</x:f>
        <x:v>13.564568000000001</x:v>
      </x:c>
      <x:c r="J50" s="61" t="str">
        <x:v>1382522065</x:v>
      </x:c>
      <x:c r="K50" s="46" t="str">
        <x:v>字节架构汇聚</x:v>
      </x:c>
      <x:c r="L50" s="52" t="n">
        <x:v>13.979935</x:v>
      </x:c>
      <x:c r="M50" s="52" t="n">
        <x:f>L50-H50</x:f>
        <x:v>44.545367</x:v>
      </x:c>
      <x:c r="N50" s="55" t="n">
        <x:f>M50/MAX(I50,1)</x:f>
        <x:v>3.283950288722796</x:v>
      </x:c>
      <x:c r="O50" s="52" t="n">
        <x:v>-24.146378</x:v>
      </x:c>
      <x:c r="P50" s="52" t="n">
        <x:v>29.240036</x:v>
      </x:c>
      <x:c r="Q50" s="52" t="n">
        <x:f>P50-O50</x:f>
        <x:v>53.386414</x:v>
      </x:c>
      <x:c r="R50" s="58" t="n">
        <x:v>19</x:v>
      </x:c>
      <x:c r="S50" s="58" t="n">
        <x:v>7</x:v>
      </x:c>
      <x:c r="T50" s="64" t="str">
        <x:v>profit_profitAmount</x:v>
      </x:c>
    </x:row>
    <x:row r="51">
      <x:c r="A51" s="61" t="str">
        <x:v>12b1e3c145b7e7ecfceeb8702634087a</x:v>
      </x:c>
      <x:c r="B51" s="64" t="str">
        <x:v>A类：当前真实与预测均亏损，Top1预测转正</x:v>
      </x:c>
      <x:c r="C51" s="64" t="str">
        <x:v>很高（≥2.0倍）</x:v>
      </x:c>
      <x:c r="D51" s="49" t="n">
        <x:v>46261</x:v>
      </x:c>
      <x:c r="E51" s="61" t="str">
        <x:v>10000244</x:v>
      </x:c>
      <x:c r="F51" s="46" t="str">
        <x:v>B站专线-盒子V2</x:v>
      </x:c>
      <x:c r="G51" s="52" t="n">
        <x:v>-4.1</x:v>
      </x:c>
      <x:c r="H51" s="52" t="n">
        <x:v>-7.9673824</x:v>
      </x:c>
      <x:c r="I51" s="52" t="n">
        <x:f>ABS(G51-H51)</x:f>
        <x:v>3.8673824000000003</x:v>
      </x:c>
      <x:c r="J51" s="61" t="str">
        <x:v>1382490022</x:v>
      </x:c>
      <x:c r="K51" s="46" t="str">
        <x:v>快手盒子</x:v>
      </x:c>
      <x:c r="L51" s="52" t="n">
        <x:v>3.7900848</x:v>
      </x:c>
      <x:c r="M51" s="52" t="n">
        <x:f>L51-H51</x:f>
        <x:v>11.7574672</x:v>
      </x:c>
      <x:c r="N51" s="55" t="n">
        <x:f>M51/MAX(I51,1)</x:f>
        <x:v>3.0401615314792765</x:v>
      </x:c>
      <x:c r="O51" s="52" t="n">
        <x:v>-8.941625</x:v>
      </x:c>
      <x:c r="P51" s="52" t="n">
        <x:v>9.190133</x:v>
      </x:c>
      <x:c r="Q51" s="52" t="n">
        <x:f>P51-O51</x:f>
        <x:v>18.131757999999998</x:v>
      </x:c>
      <x:c r="R51" s="58" t="n">
        <x:v>76</x:v>
      </x:c>
      <x:c r="S51" s="58" t="n">
        <x:v>7</x:v>
      </x:c>
      <x:c r="T51" s="64" t="str">
        <x:v>profit_profitAmount</x:v>
      </x:c>
    </x:row>
    <x:row r="52">
      <x:c r="A52" s="61" t="str">
        <x:v>95aecf2c55c851d3c8264e68b27992ad</x:v>
      </x:c>
      <x:c r="B52" s="64" t="str">
        <x:v>A类：当前真实与预测均亏损，Top1预测转正</x:v>
      </x:c>
      <x:c r="C52" s="64" t="str">
        <x:v>很高（≥2.0倍）</x:v>
      </x:c>
      <x:c r="D52" s="49" t="n">
        <x:v>46261</x:v>
      </x:c>
      <x:c r="E52" s="61" t="str">
        <x:v>10000069</x:v>
      </x:c>
      <x:c r="F52" s="46" t="str">
        <x:v>腾讯汇聚P2P</x:v>
      </x:c>
      <x:c r="G52" s="52" t="n">
        <x:v>-115.52</x:v>
      </x:c>
      <x:c r="H52" s="52" t="n">
        <x:v>-68.54471</x:v>
      </x:c>
      <x:c r="I52" s="52" t="n">
        <x:f>ABS(G52-H52)</x:f>
        <x:v>46.97529</x:v>
      </x:c>
      <x:c r="J52" s="61" t="str">
        <x:v>10000183</x:v>
      </x:c>
      <x:c r="K52" s="46" t="str">
        <x:v>B站专线-盒子</x:v>
      </x:c>
      <x:c r="L52" s="52" t="n">
        <x:v>74.03189</x:v>
      </x:c>
      <x:c r="M52" s="52" t="n">
        <x:f>L52-H52</x:f>
        <x:v>142.57659999999998</x:v>
      </x:c>
      <x:c r="N52" s="55" t="n">
        <x:f>M52/MAX(I52,1)</x:f>
        <x:v>3.0351403897666196</x:v>
      </x:c>
      <x:c r="O52" s="52" t="n">
        <x:v>-53.0402</x:v>
      </x:c>
      <x:c r="P52" s="52" t="n">
        <x:v>44.04403</x:v>
      </x:c>
      <x:c r="Q52" s="52" t="n">
        <x:f>P52-O52</x:f>
        <x:v>97.08422999999999</x:v>
      </x:c>
      <x:c r="R52" s="58" t="n">
        <x:v>96</x:v>
      </x:c>
      <x:c r="S52" s="58" t="n">
        <x:v>7</x:v>
      </x:c>
      <x:c r="T52" s="64" t="str">
        <x:v>profit_profitAmount</x:v>
      </x:c>
    </x:row>
    <x:row r="53">
      <x:c r="A53" s="61" t="str">
        <x:v>6fe087cae68cec32a99ca125f2544352</x:v>
      </x:c>
      <x:c r="B53" s="64" t="str">
        <x:v>A类：当前真实与预测均亏损，Top1预测转正</x:v>
      </x:c>
      <x:c r="C53" s="64" t="str">
        <x:v>很高（≥2.0倍）</x:v>
      </x:c>
      <x:c r="D53" s="49" t="n">
        <x:v>46261</x:v>
      </x:c>
      <x:c r="E53" s="61" t="str">
        <x:v>10000079</x:v>
      </x:c>
      <x:c r="F53" s="46" t="str">
        <x:v>字节架构汇聚V2</x:v>
      </x:c>
      <x:c r="G53" s="52" t="n">
        <x:v>-5.85</x:v>
      </x:c>
      <x:c r="H53" s="52" t="n">
        <x:v>-2.1319504</x:v>
      </x:c>
      <x:c r="I53" s="52" t="n">
        <x:f>ABS(G53-H53)</x:f>
        <x:v>3.7180495999999996</x:v>
      </x:c>
      <x:c r="J53" s="61" t="str">
        <x:v>1382490022</x:v>
      </x:c>
      <x:c r="K53" s="46" t="str">
        <x:v>快手盒子</x:v>
      </x:c>
      <x:c r="L53" s="52" t="n">
        <x:v>8.87667</x:v>
      </x:c>
      <x:c r="M53" s="52" t="n">
        <x:f>L53-H53</x:f>
        <x:v>11.008620400000002</x:v>
      </x:c>
      <x:c r="N53" s="55" t="n">
        <x:f>M53/MAX(I53,1)</x:f>
        <x:v>2.960858940666096</x:v>
      </x:c>
      <x:c r="O53" s="52" t="n">
        <x:v>-0.6244719</x:v>
      </x:c>
      <x:c r="P53" s="52" t="n">
        <x:v>16.725792</x:v>
      </x:c>
      <x:c r="Q53" s="52" t="n">
        <x:f>P53-O53</x:f>
        <x:v>17.350263899999998</x:v>
      </x:c>
      <x:c r="R53" s="58" t="n">
        <x:v>76</x:v>
      </x:c>
      <x:c r="S53" s="58" t="n">
        <x:v>7</x:v>
      </x:c>
      <x:c r="T53" s="64" t="str">
        <x:v>profit_profitAmount</x:v>
      </x:c>
    </x:row>
    <x:row r="54">
      <x:c r="A54" s="61" t="str">
        <x:v>f25b2cb2ac9debbab18207660c20c327</x:v>
      </x:c>
      <x:c r="B54" s="64" t="str">
        <x:v>A类：当前真实与预测均亏损，Top1预测转正</x:v>
      </x:c>
      <x:c r="C54" s="64" t="str">
        <x:v>很高（≥2.0倍）</x:v>
      </x:c>
      <x:c r="D54" s="49" t="n">
        <x:v>46255</x:v>
      </x:c>
      <x:c r="E54" s="61" t="str">
        <x:v>10000069</x:v>
      </x:c>
      <x:c r="F54" s="46" t="str">
        <x:v>腾讯汇聚P2P</x:v>
      </x:c>
      <x:c r="G54" s="52" t="n">
        <x:v>-5.27</x:v>
      </x:c>
      <x:c r="H54" s="52" t="n">
        <x:v>-53.047676</x:v>
      </x:c>
      <x:c r="I54" s="52" t="n">
        <x:f>ABS(G54-H54)</x:f>
        <x:v>47.777676</x:v>
      </x:c>
      <x:c r="J54" s="61" t="str">
        <x:v>10000183</x:v>
      </x:c>
      <x:c r="K54" s="46" t="str">
        <x:v>B站专线-盒子</x:v>
      </x:c>
      <x:c r="L54" s="52" t="n">
        <x:v>81.62614</x:v>
      </x:c>
      <x:c r="M54" s="52" t="n">
        <x:f>L54-H54</x:f>
        <x:v>134.67381600000002</x:v>
      </x:c>
      <x:c r="N54" s="55" t="n">
        <x:f>M54/MAX(I54,1)</x:f>
        <x:v>2.8187602929870432</x:v>
      </x:c>
      <x:c r="O54" s="52" t="n">
        <x:v>-44.623917</x:v>
      </x:c>
      <x:c r="P54" s="52" t="n">
        <x:v>109.34985</x:v>
      </x:c>
      <x:c r="Q54" s="52" t="n">
        <x:f>P54-O54</x:f>
        <x:v>153.973767</x:v>
      </x:c>
      <x:c r="R54" s="58" t="n">
        <x:v>96</x:v>
      </x:c>
      <x:c r="S54" s="58" t="n">
        <x:v>1</x:v>
      </x:c>
      <x:c r="T54" s="64" t="str">
        <x:v>profit_profitAmount</x:v>
      </x:c>
    </x:row>
    <x:row r="55">
      <x:c r="A55" s="61" t="str">
        <x:v>0b7dbf0483a54c34b59054d3b41600ff</x:v>
      </x:c>
      <x:c r="B55" s="64" t="str">
        <x:v>A类：当前真实与预测均亏损，Top1预测转正</x:v>
      </x:c>
      <x:c r="C55" s="64" t="str">
        <x:v>很高（≥2.0倍）</x:v>
      </x:c>
      <x:c r="D55" s="49" t="n">
        <x:v>46261</x:v>
      </x:c>
      <x:c r="E55" s="61" t="str">
        <x:v>10000074</x:v>
      </x:c>
      <x:c r="F55" s="46" t="str">
        <x:v>腾讯直连独立</x:v>
      </x:c>
      <x:c r="G55" s="52" t="n">
        <x:v>-7.53</x:v>
      </x:c>
      <x:c r="H55" s="52" t="n">
        <x:v>-18.308632</x:v>
      </x:c>
      <x:c r="I55" s="52" t="n">
        <x:f>ABS(G55-H55)</x:f>
        <x:v>10.778631999999998</x:v>
      </x:c>
      <x:c r="J55" s="61" t="str">
        <x:v>1382490022</x:v>
      </x:c>
      <x:c r="K55" s="46" t="str">
        <x:v>快手盒子</x:v>
      </x:c>
      <x:c r="L55" s="52" t="n">
        <x:v>11.60215</x:v>
      </x:c>
      <x:c r="M55" s="52" t="n">
        <x:f>L55-H55</x:f>
        <x:v>29.910781999999998</x:v>
      </x:c>
      <x:c r="N55" s="55" t="n">
        <x:f>M55/MAX(I55,1)</x:f>
        <x:v>2.775007255095081</x:v>
      </x:c>
      <x:c r="O55" s="52" t="n">
        <x:v>-12.28189</x:v>
      </x:c>
      <x:c r="P55" s="52" t="n">
        <x:v>40.942307</x:v>
      </x:c>
      <x:c r="Q55" s="52" t="n">
        <x:f>P55-O55</x:f>
        <x:v>53.224197000000004</x:v>
      </x:c>
      <x:c r="R55" s="58" t="n">
        <x:v>76</x:v>
      </x:c>
      <x:c r="S55" s="58" t="n">
        <x:v>7</x:v>
      </x:c>
      <x:c r="T55" s="64" t="str">
        <x:v>profit_profitAmount</x:v>
      </x:c>
    </x:row>
    <x:row r="56">
      <x:c r="A56" s="61" t="str">
        <x:v>d33b20ad4ae86b596f091afa1e4c7bf4</x:v>
      </x:c>
      <x:c r="B56" s="64" t="str">
        <x:v>A类：当前真实与预测均亏损，Top1预测转正</x:v>
      </x:c>
      <x:c r="C56" s="64" t="str">
        <x:v>很高（≥2.0倍）</x:v>
      </x:c>
      <x:c r="D56" s="49" t="n">
        <x:v>46258</x:v>
      </x:c>
      <x:c r="E56" s="61" t="str">
        <x:v>10000069</x:v>
      </x:c>
      <x:c r="F56" s="46" t="str">
        <x:v>腾讯汇聚P2P</x:v>
      </x:c>
      <x:c r="G56" s="52" t="n">
        <x:v>-125.47</x:v>
      </x:c>
      <x:c r="H56" s="52" t="n">
        <x:v>-65.89389</x:v>
      </x:c>
      <x:c r="I56" s="52" t="n">
        <x:f>ABS(G56-H56)</x:f>
        <x:v>59.57611</x:v>
      </x:c>
      <x:c r="J56" s="61" t="str">
        <x:v>10000183</x:v>
      </x:c>
      <x:c r="K56" s="46" t="str">
        <x:v>B站专线-盒子</x:v>
      </x:c>
      <x:c r="L56" s="52" t="n">
        <x:v>91.08897</x:v>
      </x:c>
      <x:c r="M56" s="52" t="n">
        <x:f>L56-H56</x:f>
        <x:v>156.98286000000002</x:v>
      </x:c>
      <x:c r="N56" s="55" t="n">
        <x:f>M56/MAX(I56,1)</x:f>
        <x:v>2.63499681331997</x:v>
      </x:c>
      <x:c r="O56" s="52" t="n">
        <x:v>-45.341736</x:v>
      </x:c>
      <x:c r="P56" s="52" t="n">
        <x:v>110.28441</x:v>
      </x:c>
      <x:c r="Q56" s="52" t="n">
        <x:f>P56-O56</x:f>
        <x:v>155.626146</x:v>
      </x:c>
      <x:c r="R56" s="58" t="n">
        <x:v>96</x:v>
      </x:c>
      <x:c r="S56" s="58" t="n">
        <x:v>3</x:v>
      </x:c>
      <x:c r="T56" s="64" t="str">
        <x:v>profit_profitAmount</x:v>
      </x:c>
    </x:row>
    <x:row r="57">
      <x:c r="A57" s="61" t="str">
        <x:v>57ba7d5f9b8cff82d10a66b72f641d33</x:v>
      </x:c>
      <x:c r="B57" s="64" t="str">
        <x:v>A类：当前真实与预测均亏损，Top1预测转正</x:v>
      </x:c>
      <x:c r="C57" s="64" t="str">
        <x:v>很高（≥2.0倍）</x:v>
      </x:c>
      <x:c r="D57" s="49" t="n">
        <x:v>46261</x:v>
      </x:c>
      <x:c r="E57" s="61" t="str">
        <x:v>10000304</x:v>
      </x:c>
      <x:c r="F57" s="46" t="str">
        <x:v>快手严选</x:v>
      </x:c>
      <x:c r="G57" s="52" t="n">
        <x:v>-0.55</x:v>
      </x:c>
      <x:c r="H57" s="52" t="n">
        <x:v>-9.023239</x:v>
      </x:c>
      <x:c r="I57" s="52" t="n">
        <x:f>ABS(G57-H57)</x:f>
        <x:v>8.473239</x:v>
      </x:c>
      <x:c r="J57" s="61" t="str">
        <x:v>1382490022</x:v>
      </x:c>
      <x:c r="K57" s="46" t="str">
        <x:v>快手盒子</x:v>
      </x:c>
      <x:c r="L57" s="52" t="n">
        <x:v>13.200489</x:v>
      </x:c>
      <x:c r="M57" s="52" t="n">
        <x:f>L57-H57</x:f>
        <x:v>22.223728</x:v>
      </x:c>
      <x:c r="N57" s="55" t="n">
        <x:f>M57/MAX(I57,1)</x:f>
        <x:v>2.6228137787686623</x:v>
      </x:c>
      <x:c r="O57" s="52" t="n">
        <x:v>-14.706555</x:v>
      </x:c>
      <x:c r="P57" s="52" t="n">
        <x:v>16.316671</x:v>
      </x:c>
      <x:c r="Q57" s="52" t="n">
        <x:f>P57-O57</x:f>
        <x:v>31.023226</x:v>
      </x:c>
      <x:c r="R57" s="58" t="n">
        <x:v>76</x:v>
      </x:c>
      <x:c r="S57" s="58" t="n">
        <x:v>7</x:v>
      </x:c>
      <x:c r="T57" s="64" t="str">
        <x:v>profit_profitAmount</x:v>
      </x:c>
    </x:row>
    <x:row r="58">
      <x:c r="A58" s="61" t="str">
        <x:v>61ee7c1a0acc7002d5e69880bd523436</x:v>
      </x:c>
      <x:c r="B58" s="64" t="str">
        <x:v>A类：当前真实与预测均亏损，Top1预测转正</x:v>
      </x:c>
      <x:c r="C58" s="64" t="str">
        <x:v>很高（≥2.0倍）</x:v>
      </x:c>
      <x:c r="D58" s="49" t="n">
        <x:v>46261</x:v>
      </x:c>
      <x:c r="E58" s="61" t="str">
        <x:v>10000304</x:v>
      </x:c>
      <x:c r="F58" s="46" t="str">
        <x:v>快手严选</x:v>
      </x:c>
      <x:c r="G58" s="52" t="n">
        <x:v>-40.72</x:v>
      </x:c>
      <x:c r="H58" s="52" t="n">
        <x:v>-18.190613</x:v>
      </x:c>
      <x:c r="I58" s="52" t="n">
        <x:f>ABS(G58-H58)</x:f>
        <x:v>22.529387</x:v>
      </x:c>
      <x:c r="J58" s="61" t="str">
        <x:v>1382490022</x:v>
      </x:c>
      <x:c r="K58" s="46" t="str">
        <x:v>快手盒子</x:v>
      </x:c>
      <x:c r="L58" s="52" t="n">
        <x:v>40.040783</x:v>
      </x:c>
      <x:c r="M58" s="52" t="n">
        <x:f>L58-H58</x:f>
        <x:v>58.231396</x:v>
      </x:c>
      <x:c r="N58" s="55" t="n">
        <x:f>M58/MAX(I58,1)</x:f>
        <x:v>2.5846862144984235</x:v>
      </x:c>
      <x:c r="O58" s="52" t="n">
        <x:v>-3.9380033</x:v>
      </x:c>
      <x:c r="P58" s="52" t="n">
        <x:v>25.889786</x:v>
      </x:c>
      <x:c r="Q58" s="52" t="n">
        <x:f>P58-O58</x:f>
        <x:v>29.8277893</x:v>
      </x:c>
      <x:c r="R58" s="58" t="n">
        <x:v>76</x:v>
      </x:c>
      <x:c r="S58" s="58" t="n">
        <x:v>7</x:v>
      </x:c>
      <x:c r="T58" s="64" t="str">
        <x:v>profit_profitAmount</x:v>
      </x:c>
    </x:row>
    <x:row r="59">
      <x:c r="A59" s="61" t="str">
        <x:v>3d908bd29d499a130889e7c29fe32927</x:v>
      </x:c>
      <x:c r="B59" s="64" t="str">
        <x:v>A类：当前真实与预测均亏损，Top1预测转正</x:v>
      </x:c>
      <x:c r="C59" s="64" t="str">
        <x:v>很高（≥2.0倍）</x:v>
      </x:c>
      <x:c r="D59" s="49" t="n">
        <x:v>46261</x:v>
      </x:c>
      <x:c r="E59" s="61" t="str">
        <x:v>10000079</x:v>
      </x:c>
      <x:c r="F59" s="46" t="str">
        <x:v>字节架构汇聚V2</x:v>
      </x:c>
      <x:c r="G59" s="52" t="n">
        <x:v>-2.52</x:v>
      </x:c>
      <x:c r="H59" s="52" t="n">
        <x:v>-18.29803</x:v>
      </x:c>
      <x:c r="I59" s="52" t="n">
        <x:f>ABS(G59-H59)</x:f>
        <x:v>15.778030000000001</x:v>
      </x:c>
      <x:c r="J59" s="61" t="str">
        <x:v>1382490022</x:v>
      </x:c>
      <x:c r="K59" s="46" t="str">
        <x:v>快手盒子</x:v>
      </x:c>
      <x:c r="L59" s="52" t="n">
        <x:v>22.225748</x:v>
      </x:c>
      <x:c r="M59" s="52" t="n">
        <x:f>L59-H59</x:f>
        <x:v>40.523778</x:v>
      </x:c>
      <x:c r="N59" s="55" t="n">
        <x:f>M59/MAX(I59,1)</x:f>
        <x:v>2.568367407084408</x:v>
      </x:c>
      <x:c r="O59" s="52" t="n">
        <x:v>-11.852434</x:v>
      </x:c>
      <x:c r="P59" s="52" t="n">
        <x:v>56.394234</x:v>
      </x:c>
      <x:c r="Q59" s="52" t="n">
        <x:f>P59-O59</x:f>
        <x:v>68.246668</x:v>
      </x:c>
      <x:c r="R59" s="58" t="n">
        <x:v>76</x:v>
      </x:c>
      <x:c r="S59" s="58" t="n">
        <x:v>7</x:v>
      </x:c>
      <x:c r="T59" s="64" t="str">
        <x:v>profit_profitAmount</x:v>
      </x:c>
    </x:row>
    <x:row r="60">
      <x:c r="A60" s="61" t="str">
        <x:v>af139b4fda5e5be8664ad688e69ab89b</x:v>
      </x:c>
      <x:c r="B60" s="64" t="str">
        <x:v>A类：当前真实与预测均亏损，Top1预测转正</x:v>
      </x:c>
      <x:c r="C60" s="64" t="str">
        <x:v>很高（≥2.0倍）</x:v>
      </x:c>
      <x:c r="D60" s="49" t="n">
        <x:v>46261</x:v>
      </x:c>
      <x:c r="E60" s="61" t="str">
        <x:v>10000304</x:v>
      </x:c>
      <x:c r="F60" s="46" t="str">
        <x:v>快手严选</x:v>
      </x:c>
      <x:c r="G60" s="52" t="n">
        <x:v>-2.55</x:v>
      </x:c>
      <x:c r="H60" s="52" t="n">
        <x:v>-14.38765</x:v>
      </x:c>
      <x:c r="I60" s="52" t="n">
        <x:f>ABS(G60-H60)</x:f>
        <x:v>11.83765</x:v>
      </x:c>
      <x:c r="J60" s="61" t="str">
        <x:v>10000292</x:v>
      </x:c>
      <x:c r="K60" s="46" t="str">
        <x:v>__MISSING__</x:v>
      </x:c>
      <x:c r="L60" s="52" t="n">
        <x:v>15.591362</x:v>
      </x:c>
      <x:c r="M60" s="52" t="n">
        <x:f>L60-H60</x:f>
        <x:v>29.979012</x:v>
      </x:c>
      <x:c r="N60" s="55" t="n">
        <x:f>M60/MAX(I60,1)</x:f>
        <x:v>2.5325138013034683</x:v>
      </x:c>
      <x:c r="O60" s="52" t="n">
        <x:v>6.998048</x:v>
      </x:c>
      <x:c r="P60" s="52" t="n">
        <x:v>14.347666</x:v>
      </x:c>
      <x:c r="Q60" s="52" t="n">
        <x:f>P60-O60</x:f>
        <x:v>7.349618</x:v>
      </x:c>
      <x:c r="R60" s="58" t="n">
        <x:v>1647</x:v>
      </x:c>
      <x:c r="S60" s="58" t="n">
        <x:v>6</x:v>
      </x:c>
      <x:c r="T60" s="64" t="str">
        <x:v>profit_profitAmount</x:v>
      </x:c>
    </x:row>
    <x:row r="61">
      <x:c r="A61" s="61" t="str">
        <x:v>ace85a63bef9a4ddd2bb2bfe9112d900</x:v>
      </x:c>
      <x:c r="B61" s="64" t="str">
        <x:v>A类：当前真实与预测均亏损，Top1预测转正</x:v>
      </x:c>
      <x:c r="C61" s="64" t="str">
        <x:v>很高（≥2.0倍）</x:v>
      </x:c>
      <x:c r="D61" s="49" t="n">
        <x:v>46259</x:v>
      </x:c>
      <x:c r="E61" s="61" t="str">
        <x:v>10000079</x:v>
      </x:c>
      <x:c r="F61" s="46" t="str">
        <x:v>字节架构汇聚V2</x:v>
      </x:c>
      <x:c r="G61" s="52" t="n">
        <x:v>-0.8</x:v>
      </x:c>
      <x:c r="H61" s="52" t="n">
        <x:v>-7.3486977</x:v>
      </x:c>
      <x:c r="I61" s="52" t="n">
        <x:f>ABS(G61-H61)</x:f>
        <x:v>6.5486977</x:v>
      </x:c>
      <x:c r="J61" s="61" t="str">
        <x:v>1382490022</x:v>
      </x:c>
      <x:c r="K61" s="46" t="str">
        <x:v>快手盒子</x:v>
      </x:c>
      <x:c r="L61" s="52" t="n">
        <x:v>9.0282755</x:v>
      </x:c>
      <x:c r="M61" s="52" t="n">
        <x:f>L61-H61</x:f>
        <x:v>16.3769732</x:v>
      </x:c>
      <x:c r="N61" s="55" t="n">
        <x:f>M61/MAX(I61,1)</x:f>
        <x:v>2.500798471732784</x:v>
      </x:c>
      <x:c r="O61" s="52" t="n">
        <x:v>-6.296486</x:v>
      </x:c>
      <x:c r="P61" s="52" t="n">
        <x:v>11.94316</x:v>
      </x:c>
      <x:c r="Q61" s="52" t="n">
        <x:f>P61-O61</x:f>
        <x:v>18.239646</x:v>
      </x:c>
      <x:c r="R61" s="58" t="n">
        <x:v>76</x:v>
      </x:c>
      <x:c r="S61" s="58" t="n">
        <x:v>5</x:v>
      </x:c>
      <x:c r="T61" s="64" t="str">
        <x:v>profit_profitAmount</x:v>
      </x:c>
    </x:row>
    <x:row r="62">
      <x:c r="A62" s="61" t="str">
        <x:v>8632eba7c965a0aed22866923d34574d</x:v>
      </x:c>
      <x:c r="B62" s="64" t="str">
        <x:v>A类：当前真实与预测均亏损，Top1预测转正</x:v>
      </x:c>
      <x:c r="C62" s="64" t="str">
        <x:v>很高（≥2.0倍）</x:v>
      </x:c>
      <x:c r="D62" s="49" t="n">
        <x:v>46261</x:v>
      </x:c>
      <x:c r="E62" s="61" t="str">
        <x:v>10000304</x:v>
      </x:c>
      <x:c r="F62" s="46" t="str">
        <x:v>快手严选</x:v>
      </x:c>
      <x:c r="G62" s="52" t="n">
        <x:v>-3.24</x:v>
      </x:c>
      <x:c r="H62" s="52" t="n">
        <x:v>-9.8533125</x:v>
      </x:c>
      <x:c r="I62" s="52" t="n">
        <x:f>ABS(G62-H62)</x:f>
        <x:v>6.613312499999999</x:v>
      </x:c>
      <x:c r="J62" s="61" t="str">
        <x:v>1382490022</x:v>
      </x:c>
      <x:c r="K62" s="46" t="str">
        <x:v>快手盒子</x:v>
      </x:c>
      <x:c r="L62" s="52" t="n">
        <x:v>6.0415087</x:v>
      </x:c>
      <x:c r="M62" s="52" t="n">
        <x:f>L62-H62</x:f>
        <x:v>15.894821199999999</x:v>
      </x:c>
      <x:c r="N62" s="55" t="n">
        <x:f>M62/MAX(I62,1)</x:f>
        <x:v>2.4034583576687174</x:v>
      </x:c>
      <x:c r="O62" s="52" t="n">
        <x:v>-14.672297</x:v>
      </x:c>
      <x:c r="P62" s="52" t="n">
        <x:v>13.325074</x:v>
      </x:c>
      <x:c r="Q62" s="52" t="n">
        <x:f>P62-O62</x:f>
        <x:v>27.997371</x:v>
      </x:c>
      <x:c r="R62" s="58" t="n">
        <x:v>76</x:v>
      </x:c>
      <x:c r="S62" s="58" t="n">
        <x:v>7</x:v>
      </x:c>
      <x:c r="T62" s="64" t="str">
        <x:v>profit_profitAmount</x:v>
      </x:c>
    </x:row>
    <x:row r="63">
      <x:c r="A63" s="61" t="str">
        <x:v>e67b198f53b99d71e97411bbccf4f134</x:v>
      </x:c>
      <x:c r="B63" s="64" t="str">
        <x:v>A类：当前真实与预测均亏损，Top1预测转正</x:v>
      </x:c>
      <x:c r="C63" s="64" t="str">
        <x:v>很高（≥2.0倍）</x:v>
      </x:c>
      <x:c r="D63" s="49" t="n">
        <x:v>46261</x:v>
      </x:c>
      <x:c r="E63" s="61" t="str">
        <x:v>10000064</x:v>
      </x:c>
      <x:c r="F63" s="46" t="str">
        <x:v>百度小度</x:v>
      </x:c>
      <x:c r="G63" s="52" t="n">
        <x:v>-24.1</x:v>
      </x:c>
      <x:c r="H63" s="52" t="n">
        <x:v>-14.0456705</x:v>
      </x:c>
      <x:c r="I63" s="52" t="n">
        <x:f>ABS(G63-H63)</x:f>
        <x:v>10.054329500000001</x:v>
      </x:c>
      <x:c r="J63" s="61" t="str">
        <x:v>10000300</x:v>
      </x:c>
      <x:c r="K63" s="46" t="str">
        <x:v>B站-晚高峰21点</x:v>
      </x:c>
      <x:c r="L63" s="52" t="n">
        <x:v>9.9825</x:v>
      </x:c>
      <x:c r="M63" s="52" t="n">
        <x:f>L63-H63</x:f>
        <x:v>24.0281705</x:v>
      </x:c>
      <x:c r="N63" s="55" t="n">
        <x:f>M63/MAX(I63,1)</x:f>
        <x:v>2.3898332056851728</x:v>
      </x:c>
      <x:c r="O63" s="52" t="n">
        <x:v>-14.487917</x:v>
      </x:c>
      <x:c r="P63" s="52" t="n">
        <x:v>19.14192</x:v>
      </x:c>
      <x:c r="Q63" s="52" t="n">
        <x:f>P63-O63</x:f>
        <x:v>33.629836999999995</x:v>
      </x:c>
      <x:c r="R63" s="58" t="n">
        <x:v>52</x:v>
      </x:c>
      <x:c r="S63" s="58" t="n">
        <x:v>7</x:v>
      </x:c>
      <x:c r="T63" s="64" t="str">
        <x:v>profit_profitAmount</x:v>
      </x:c>
    </x:row>
    <x:row r="64">
      <x:c r="A64" s="61" t="str">
        <x:v>cfb33b1a111609386fda4e9ccf778e5a</x:v>
      </x:c>
      <x:c r="B64" s="64" t="str">
        <x:v>A类：当前真实与预测均亏损，Top1预测转正</x:v>
      </x:c>
      <x:c r="C64" s="64" t="str">
        <x:v>很高（≥2.0倍）</x:v>
      </x:c>
      <x:c r="D64" s="49" t="n">
        <x:v>46261</x:v>
      </x:c>
      <x:c r="E64" s="61" t="str">
        <x:v>10000019</x:v>
      </x:c>
      <x:c r="F64" s="46" t="str">
        <x:v>B站盒子</x:v>
      </x:c>
      <x:c r="G64" s="52" t="n">
        <x:v>-48.44</x:v>
      </x:c>
      <x:c r="H64" s="52" t="n">
        <x:v>-28.095694</x:v>
      </x:c>
      <x:c r="I64" s="52" t="n">
        <x:f>ABS(G64-H64)</x:f>
        <x:v>20.344305999999996</x:v>
      </x:c>
      <x:c r="J64" s="61" t="str">
        <x:v>1382522065</x:v>
      </x:c>
      <x:c r="K64" s="46" t="str">
        <x:v>字节架构汇聚</x:v>
      </x:c>
      <x:c r="L64" s="52" t="n">
        <x:v>19.71734</x:v>
      </x:c>
      <x:c r="M64" s="52" t="n">
        <x:f>L64-H64</x:f>
        <x:v>47.813034</x:v>
      </x:c>
      <x:c r="N64" s="55" t="n">
        <x:f>M64/MAX(I64,1)</x:f>
        <x:v>2.3501924322215766</x:v>
      </x:c>
      <x:c r="O64" s="52" t="n">
        <x:v>-19.069416</x:v>
      </x:c>
      <x:c r="P64" s="52" t="n">
        <x:v>28.084816</x:v>
      </x:c>
      <x:c r="Q64" s="52" t="n">
        <x:f>P64-O64</x:f>
        <x:v>47.154232</x:v>
      </x:c>
      <x:c r="R64" s="58" t="n">
        <x:v>19</x:v>
      </x:c>
      <x:c r="S64" s="58" t="n">
        <x:v>7</x:v>
      </x:c>
      <x:c r="T64" s="64" t="str">
        <x:v>profit_profitAmount</x:v>
      </x:c>
    </x:row>
    <x:row r="65">
      <x:c r="A65" s="61" t="str">
        <x:v>0af8adcb88eaf663f8234a1b4682c3ea</x:v>
      </x:c>
      <x:c r="B65" s="64" t="str">
        <x:v>A类：当前真实与预测均亏损，Top1预测转正</x:v>
      </x:c>
      <x:c r="C65" s="64" t="str">
        <x:v>很高（≥2.0倍）</x:v>
      </x:c>
      <x:c r="D65" s="49" t="n">
        <x:v>46261</x:v>
      </x:c>
      <x:c r="E65" s="61" t="str">
        <x:v>10000064</x:v>
      </x:c>
      <x:c r="F65" s="46" t="str">
        <x:v>百度小度</x:v>
      </x:c>
      <x:c r="G65" s="52" t="n">
        <x:v>-8.91</x:v>
      </x:c>
      <x:c r="H65" s="52" t="n">
        <x:v>-19.470161</x:v>
      </x:c>
      <x:c r="I65" s="52" t="n">
        <x:f>ABS(G65-H65)</x:f>
        <x:v>10.560161</x:v>
      </x:c>
      <x:c r="J65" s="61" t="str">
        <x:v>10000300</x:v>
      </x:c>
      <x:c r="K65" s="46" t="str">
        <x:v>B站-晚高峰21点</x:v>
      </x:c>
      <x:c r="L65" s="52" t="n">
        <x:v>4.2341824</x:v>
      </x:c>
      <x:c r="M65" s="52" t="n">
        <x:f>L65-H65</x:f>
        <x:v>23.7043434</x:v>
      </x:c>
      <x:c r="N65" s="55" t="n">
        <x:f>M65/MAX(I65,1)</x:f>
        <x:v>2.2446952655361976</x:v>
      </x:c>
      <x:c r="O65" s="52" t="n">
        <x:v>-13.937708</x:v>
      </x:c>
      <x:c r="P65" s="52" t="n">
        <x:v>12.341492</x:v>
      </x:c>
      <x:c r="Q65" s="52" t="n">
        <x:f>P65-O65</x:f>
        <x:v>26.279200000000003</x:v>
      </x:c>
      <x:c r="R65" s="58" t="n">
        <x:v>52</x:v>
      </x:c>
      <x:c r="S65" s="58" t="n">
        <x:v>7</x:v>
      </x:c>
      <x:c r="T65" s="64" t="str">
        <x:v>profit_profitAmount</x:v>
      </x:c>
    </x:row>
    <x:row r="66">
      <x:c r="A66" s="61" t="str">
        <x:v>69ea7dd280df5fc80d9697e86f95fc9b</x:v>
      </x:c>
      <x:c r="B66" s="64" t="str">
        <x:v>A类：当前真实与预测均亏损，Top1预测转正</x:v>
      </x:c>
      <x:c r="C66" s="64" t="str">
        <x:v>很高（≥2.0倍）</x:v>
      </x:c>
      <x:c r="D66" s="49" t="n">
        <x:v>46261</x:v>
      </x:c>
      <x:c r="E66" s="61" t="str">
        <x:v>10000292</x:v>
      </x:c>
      <x:c r="F66" s="46"/>
      <x:c r="G66" s="52" t="n">
        <x:v>-1.66</x:v>
      </x:c>
      <x:c r="H66" s="52" t="n">
        <x:v>-3.4855022</x:v>
      </x:c>
      <x:c r="I66" s="52" t="n">
        <x:f>ABS(G66-H66)</x:f>
        <x:v>1.8255022</x:v>
      </x:c>
      <x:c r="J66" s="61" t="str">
        <x:v>10000197</x:v>
      </x:c>
      <x:c r="K66" s="46" t="str">
        <x:v>天翼云V2</x:v>
      </x:c>
      <x:c r="L66" s="52" t="n">
        <x:v>0.58983994</x:v>
      </x:c>
      <x:c r="M66" s="52" t="n">
        <x:f>L66-H66</x:f>
        <x:v>4.07534214</x:v>
      </x:c>
      <x:c r="N66" s="55" t="n">
        <x:f>M66/MAX(I66,1)</x:f>
        <x:v>2.2324498650289217</x:v>
      </x:c>
      <x:c r="O66" s="52" t="n">
        <x:v>3.0643964</x:v>
      </x:c>
      <x:c r="P66" s="52" t="n">
        <x:v>11.952019</x:v>
      </x:c>
      <x:c r="Q66" s="52" t="n">
        <x:f>P66-O66</x:f>
        <x:v>8.8876226</x:v>
      </x:c>
      <x:c r="R66" s="58" t="n">
        <x:v>9</x:v>
      </x:c>
      <x:c r="S66" s="58" t="n">
        <x:v>2</x:v>
      </x:c>
      <x:c r="T66" s="64" t="str">
        <x:v>profit_profitAmount</x:v>
      </x:c>
    </x:row>
    <x:row r="67">
      <x:c r="A67" s="61" t="str">
        <x:v>d12a5a0e7b581901549ca59a05cf8fe6</x:v>
      </x:c>
      <x:c r="B67" s="64" t="str">
        <x:v>A类：当前真实与预测均亏损，Top1预测转正</x:v>
      </x:c>
      <x:c r="C67" s="64" t="str">
        <x:v>高（1.5–2.0倍）</x:v>
      </x:c>
      <x:c r="D67" s="49" t="n">
        <x:v>46261</x:v>
      </x:c>
      <x:c r="E67" s="61" t="str">
        <x:v>10000300</x:v>
      </x:c>
      <x:c r="F67" s="46" t="str">
        <x:v>B站-晚高峰21点</x:v>
      </x:c>
      <x:c r="G67" s="52" t="n">
        <x:v>-63.63</x:v>
      </x:c>
      <x:c r="H67" s="52" t="n">
        <x:v>-36.864574</x:v>
      </x:c>
      <x:c r="I67" s="52" t="n">
        <x:f>ABS(G67-H67)</x:f>
        <x:v>26.765426000000005</x:v>
      </x:c>
      <x:c r="J67" s="61" t="str">
        <x:v>1382522065</x:v>
      </x:c>
      <x:c r="K67" s="46" t="str">
        <x:v>字节架构汇聚</x:v>
      </x:c>
      <x:c r="L67" s="52" t="n">
        <x:v>15.034439</x:v>
      </x:c>
      <x:c r="M67" s="52" t="n">
        <x:f>L67-H67</x:f>
        <x:v>51.899013</x:v>
      </x:c>
      <x:c r="N67" s="55" t="n">
        <x:f>M67/MAX(I67,1)</x:f>
        <x:v>1.939031831587511</x:v>
      </x:c>
      <x:c r="O67" s="52" t="n">
        <x:v>-23.093494</x:v>
      </x:c>
      <x:c r="P67" s="52" t="n">
        <x:v>33.05022</x:v>
      </x:c>
      <x:c r="Q67" s="52" t="n">
        <x:f>P67-O67</x:f>
        <x:v>56.143714</x:v>
      </x:c>
      <x:c r="R67" s="58" t="n">
        <x:v>19</x:v>
      </x:c>
      <x:c r="S67" s="58" t="n">
        <x:v>7</x:v>
      </x:c>
      <x:c r="T67" s="64" t="str">
        <x:v>profit_profitAmount</x:v>
      </x:c>
    </x:row>
    <x:row r="68">
      <x:c r="A68" s="61" t="str">
        <x:v>180aba725a3c29acc41bd320ad3fa5b7</x:v>
      </x:c>
      <x:c r="B68" s="64" t="str">
        <x:v>A类：当前真实与预测均亏损，Top1预测转正</x:v>
      </x:c>
      <x:c r="C68" s="64" t="str">
        <x:v>高（1.5–2.0倍）</x:v>
      </x:c>
      <x:c r="D68" s="49" t="n">
        <x:v>46261</x:v>
      </x:c>
      <x:c r="E68" s="61" t="str">
        <x:v>10000079</x:v>
      </x:c>
      <x:c r="F68" s="46" t="str">
        <x:v>字节架构汇聚V2</x:v>
      </x:c>
      <x:c r="G68" s="52" t="n">
        <x:v>-142.41</x:v>
      </x:c>
      <x:c r="H68" s="52" t="n">
        <x:v>-28.289307</x:v>
      </x:c>
      <x:c r="I68" s="52" t="n">
        <x:f>ABS(G68-H68)</x:f>
        <x:v>114.12069299999999</x:v>
      </x:c>
      <x:c r="J68" s="61" t="str">
        <x:v>10000183</x:v>
      </x:c>
      <x:c r="K68" s="46" t="str">
        <x:v>B站专线-盒子</x:v>
      </x:c>
      <x:c r="L68" s="52" t="n">
        <x:v>187.62372</x:v>
      </x:c>
      <x:c r="M68" s="52" t="n">
        <x:f>L68-H68</x:f>
        <x:v>215.913027</x:v>
      </x:c>
      <x:c r="N68" s="55" t="n">
        <x:f>M68/MAX(I68,1)</x:f>
        <x:v>1.891970871575412</x:v>
      </x:c>
      <x:c r="O68" s="52" t="n">
        <x:v>-8.957864</x:v>
      </x:c>
      <x:c r="P68" s="52" t="n">
        <x:v>98.21454</x:v>
      </x:c>
      <x:c r="Q68" s="52" t="n">
        <x:f>P68-O68</x:f>
        <x:v>107.172404</x:v>
      </x:c>
      <x:c r="R68" s="58" t="n">
        <x:v>96</x:v>
      </x:c>
      <x:c r="S68" s="58" t="n">
        <x:v>7</x:v>
      </x:c>
      <x:c r="T68" s="64" t="str">
        <x:v>profit_profitAmount</x:v>
      </x:c>
    </x:row>
    <x:row r="69">
      <x:c r="A69" s="61" t="str">
        <x:v>7aa14dfac9c46306f6284a5857abfeb1</x:v>
      </x:c>
      <x:c r="B69" s="64" t="str">
        <x:v>A类：当前真实与预测均亏损，Top1预测转正</x:v>
      </x:c>
      <x:c r="C69" s="64" t="str">
        <x:v>高（1.5–2.0倍）</x:v>
      </x:c>
      <x:c r="D69" s="49" t="n">
        <x:v>46261</x:v>
      </x:c>
      <x:c r="E69" s="61" t="str">
        <x:v>10000304</x:v>
      </x:c>
      <x:c r="F69" s="46" t="str">
        <x:v>快手严选</x:v>
      </x:c>
      <x:c r="G69" s="52" t="n">
        <x:v>-1.03</x:v>
      </x:c>
      <x:c r="H69" s="52" t="n">
        <x:v>-15.177676</x:v>
      </x:c>
      <x:c r="I69" s="52" t="n">
        <x:f>ABS(G69-H69)</x:f>
        <x:v>14.147676</x:v>
      </x:c>
      <x:c r="J69" s="61" t="str">
        <x:v>10000197</x:v>
      </x:c>
      <x:c r="K69" s="46" t="str">
        <x:v>天翼云V2</x:v>
      </x:c>
      <x:c r="L69" s="52" t="n">
        <x:v>11.259092</x:v>
      </x:c>
      <x:c r="M69" s="52" t="n">
        <x:f>L69-H69</x:f>
        <x:v>26.436768</x:v>
      </x:c>
      <x:c r="N69" s="55" t="n">
        <x:f>M69/MAX(I69,1)</x:f>
        <x:v>1.868629731130399</x:v>
      </x:c>
      <x:c r="O69" s="52" t="n">
        <x:v>-12.323532</x:v>
      </x:c>
      <x:c r="P69" s="52" t="n">
        <x:v>14.714205</x:v>
      </x:c>
      <x:c r="Q69" s="52" t="n">
        <x:f>P69-O69</x:f>
        <x:v>27.037737</x:v>
      </x:c>
      <x:c r="R69" s="58" t="n">
        <x:v>9</x:v>
      </x:c>
      <x:c r="S69" s="58" t="n">
        <x:v>7</x:v>
      </x:c>
      <x:c r="T69" s="64" t="str">
        <x:v>profit_profitAmount</x:v>
      </x:c>
    </x:row>
    <x:row r="70">
      <x:c r="A70" s="61" t="str">
        <x:v>94bd7ac5ee82553342f2c263a7e610ae</x:v>
      </x:c>
      <x:c r="B70" s="64" t="str">
        <x:v>A类：当前真实与预测均亏损，Top1预测转正</x:v>
      </x:c>
      <x:c r="C70" s="64" t="str">
        <x:v>高（1.5–2.0倍）</x:v>
      </x:c>
      <x:c r="D70" s="49" t="n">
        <x:v>46261</x:v>
      </x:c>
      <x:c r="E70" s="61" t="str">
        <x:v>10000074</x:v>
      </x:c>
      <x:c r="F70" s="46" t="str">
        <x:v>腾讯直连独立</x:v>
      </x:c>
      <x:c r="G70" s="52" t="n">
        <x:v>-7.8</x:v>
      </x:c>
      <x:c r="H70" s="52" t="n">
        <x:v>-17.900158</x:v>
      </x:c>
      <x:c r="I70" s="52" t="n">
        <x:f>ABS(G70-H70)</x:f>
        <x:v>10.100158</x:v>
      </x:c>
      <x:c r="J70" s="61" t="str">
        <x:v>1382522065</x:v>
      </x:c>
      <x:c r="K70" s="46" t="str">
        <x:v>字节架构汇聚</x:v>
      </x:c>
      <x:c r="L70" s="52" t="n">
        <x:v>0.90777063</x:v>
      </x:c>
      <x:c r="M70" s="52" t="n">
        <x:f>L70-H70</x:f>
        <x:v>18.807928630000003</x:v>
      </x:c>
      <x:c r="N70" s="55" t="n">
        <x:f>M70/MAX(I70,1)</x:f>
        <x:v>1.8621420209466033</x:v>
      </x:c>
      <x:c r="O70" s="52" t="n">
        <x:v>-14.76708</x:v>
      </x:c>
      <x:c r="P70" s="52" t="n">
        <x:v>20.432451</x:v>
      </x:c>
      <x:c r="Q70" s="52" t="n">
        <x:f>P70-O70</x:f>
        <x:v>35.199531</x:v>
      </x:c>
      <x:c r="R70" s="58" t="n">
        <x:v>19</x:v>
      </x:c>
      <x:c r="S70" s="58" t="n">
        <x:v>7</x:v>
      </x:c>
      <x:c r="T70" s="64" t="str">
        <x:v>profit_profitAmount</x:v>
      </x:c>
    </x:row>
    <x:row r="71">
      <x:c r="A71" s="61" t="str">
        <x:v>6edfc1f5e55fd7a1bbed95c3bbda6427</x:v>
      </x:c>
      <x:c r="B71" s="64" t="str">
        <x:v>A类：当前真实与预测均亏损，Top1预测转正</x:v>
      </x:c>
      <x:c r="C71" s="64" t="str">
        <x:v>高（1.5–2.0倍）</x:v>
      </x:c>
      <x:c r="D71" s="49" t="n">
        <x:v>46261</x:v>
      </x:c>
      <x:c r="E71" s="61" t="str">
        <x:v>10000300</x:v>
      </x:c>
      <x:c r="F71" s="46" t="str">
        <x:v>B站-晚高峰21点</x:v>
      </x:c>
      <x:c r="G71" s="52" t="n">
        <x:v>-122.72</x:v>
      </x:c>
      <x:c r="H71" s="52" t="n">
        <x:v>-52.19446</x:v>
      </x:c>
      <x:c r="I71" s="52" t="n">
        <x:f>ABS(G71-H71)</x:f>
        <x:v>70.52554</x:v>
      </x:c>
      <x:c r="J71" s="61" t="str">
        <x:v>10000183</x:v>
      </x:c>
      <x:c r="K71" s="46" t="str">
        <x:v>B站专线-盒子</x:v>
      </x:c>
      <x:c r="L71" s="52" t="n">
        <x:v>76.427155</x:v>
      </x:c>
      <x:c r="M71" s="52" t="n">
        <x:f>L71-H71</x:f>
        <x:v>128.621615</x:v>
      </x:c>
      <x:c r="N71" s="55" t="n">
        <x:f>M71/MAX(I71,1)</x:f>
        <x:v>1.8237593785173425</x:v>
      </x:c>
      <x:c r="O71" s="52" t="n">
        <x:v>-53.8105</x:v>
      </x:c>
      <x:c r="P71" s="52" t="n">
        <x:v>129.71452</x:v>
      </x:c>
      <x:c r="Q71" s="52" t="n">
        <x:f>P71-O71</x:f>
        <x:v>183.52501999999998</x:v>
      </x:c>
      <x:c r="R71" s="58" t="n">
        <x:v>96</x:v>
      </x:c>
      <x:c r="S71" s="58" t="n">
        <x:v>4</x:v>
      </x:c>
      <x:c r="T71" s="64" t="str">
        <x:v>profit_profitAmount</x:v>
      </x:c>
    </x:row>
    <x:row r="72">
      <x:c r="A72" s="61" t="str">
        <x:v>21165ab637c90d86fab2d442ed136186</x:v>
      </x:c>
      <x:c r="B72" s="64" t="str">
        <x:v>A类：当前真实与预测均亏损，Top1预测转正</x:v>
      </x:c>
      <x:c r="C72" s="64" t="str">
        <x:v>高（1.5–2.0倍）</x:v>
      </x:c>
      <x:c r="D72" s="49" t="n">
        <x:v>46257</x:v>
      </x:c>
      <x:c r="E72" s="61" t="str">
        <x:v>10000079</x:v>
      </x:c>
      <x:c r="F72" s="46" t="str">
        <x:v>字节架构汇聚V2</x:v>
      </x:c>
      <x:c r="G72" s="52" t="n">
        <x:v>-43.88</x:v>
      </x:c>
      <x:c r="H72" s="52" t="n">
        <x:v>-20.09982</x:v>
      </x:c>
      <x:c r="I72" s="52" t="n">
        <x:f>ABS(G72-H72)</x:f>
        <x:v>23.78018</x:v>
      </x:c>
      <x:c r="J72" s="61" t="str">
        <x:v>1382490022</x:v>
      </x:c>
      <x:c r="K72" s="46" t="str">
        <x:v>快手盒子</x:v>
      </x:c>
      <x:c r="L72" s="52" t="n">
        <x:v>20.881557</x:v>
      </x:c>
      <x:c r="M72" s="52" t="n">
        <x:f>L72-H72</x:f>
        <x:v>40.981377</x:v>
      </x:c>
      <x:c r="N72" s="55" t="n">
        <x:f>M72/MAX(I72,1)</x:f>
        <x:v>1.723341749305514</x:v>
      </x:c>
      <x:c r="O72" s="52" t="n">
        <x:v>-18.667976</x:v>
      </x:c>
      <x:c r="P72" s="52" t="n">
        <x:v>28.97216</x:v>
      </x:c>
      <x:c r="Q72" s="52" t="n">
        <x:f>P72-O72</x:f>
        <x:v>47.640136</x:v>
      </x:c>
      <x:c r="R72" s="58" t="n">
        <x:v>76</x:v>
      </x:c>
      <x:c r="S72" s="58" t="n">
        <x:v>3</x:v>
      </x:c>
      <x:c r="T72" s="64" t="str">
        <x:v>profit_profitAmount</x:v>
      </x:c>
    </x:row>
    <x:row r="73">
      <x:c r="A73" s="61" t="str">
        <x:v>99a37f260296f653f694448cf54abd49</x:v>
      </x:c>
      <x:c r="B73" s="64" t="str">
        <x:v>A类：当前真实与预测均亏损，Top1预测转正</x:v>
      </x:c>
      <x:c r="C73" s="64" t="str">
        <x:v>较高（1.0–1.5倍）</x:v>
      </x:c>
      <x:c r="D73" s="49" t="n">
        <x:v>46261</x:v>
      </x:c>
      <x:c r="E73" s="61" t="str">
        <x:v>10000304</x:v>
      </x:c>
      <x:c r="F73" s="46" t="str">
        <x:v>快手严选</x:v>
      </x:c>
      <x:c r="G73" s="52" t="n">
        <x:v>-46.79</x:v>
      </x:c>
      <x:c r="H73" s="52" t="n">
        <x:v>-22.837242</x:v>
      </x:c>
      <x:c r="I73" s="52" t="n">
        <x:f>ABS(G73-H73)</x:f>
        <x:v>23.952758</x:v>
      </x:c>
      <x:c r="J73" s="61" t="str">
        <x:v>1382490022</x:v>
      </x:c>
      <x:c r="K73" s="46" t="str">
        <x:v>快手盒子</x:v>
      </x:c>
      <x:c r="L73" s="52" t="n">
        <x:v>13.03014</x:v>
      </x:c>
      <x:c r="M73" s="52" t="n">
        <x:f>L73-H73</x:f>
        <x:v>35.867382</x:v>
      </x:c>
      <x:c r="N73" s="55" t="n">
        <x:f>M73/MAX(I73,1)</x:f>
        <x:v>1.4974218000282056</x:v>
      </x:c>
      <x:c r="O73" s="52" t="n">
        <x:v>-14.869786</x:v>
      </x:c>
      <x:c r="P73" s="52" t="n">
        <x:v>2.732911</x:v>
      </x:c>
      <x:c r="Q73" s="52" t="n">
        <x:f>P73-O73</x:f>
        <x:v>17.602697</x:v>
      </x:c>
      <x:c r="R73" s="58" t="n">
        <x:v>76</x:v>
      </x:c>
      <x:c r="S73" s="58" t="n">
        <x:v>5</x:v>
      </x:c>
      <x:c r="T73" s="64" t="str">
        <x:v>profit_profitAmount</x:v>
      </x:c>
    </x:row>
    <x:row r="74">
      <x:c r="A74" s="61" t="str">
        <x:v>974e2d115185e1a81cd91b9007bb02a9</x:v>
      </x:c>
      <x:c r="B74" s="64" t="str">
        <x:v>A类：当前真实与预测均亏损，Top1预测转正</x:v>
      </x:c>
      <x:c r="C74" s="64" t="str">
        <x:v>较高（1.0–1.5倍）</x:v>
      </x:c>
      <x:c r="D74" s="49" t="n">
        <x:v>46261</x:v>
      </x:c>
      <x:c r="E74" s="61" t="str">
        <x:v>10000304</x:v>
      </x:c>
      <x:c r="F74" s="46" t="str">
        <x:v>快手严选</x:v>
      </x:c>
      <x:c r="G74" s="52" t="n">
        <x:v>-1.77</x:v>
      </x:c>
      <x:c r="H74" s="52" t="n">
        <x:v>-8.4401245</x:v>
      </x:c>
      <x:c r="I74" s="52" t="n">
        <x:f>ABS(G74-H74)</x:f>
        <x:v>6.6701245</x:v>
      </x:c>
      <x:c r="J74" s="61" t="str">
        <x:v>10000300</x:v>
      </x:c>
      <x:c r="K74" s="46" t="str">
        <x:v>B站-晚高峰21点</x:v>
      </x:c>
      <x:c r="L74" s="52" t="n">
        <x:v>1.4362497</x:v>
      </x:c>
      <x:c r="M74" s="52" t="n">
        <x:f>L74-H74</x:f>
        <x:v>9.876374199999999</x:v>
      </x:c>
      <x:c r="N74" s="55" t="n">
        <x:f>M74/MAX(I74,1)</x:f>
        <x:v>1.4806881340820548</x:v>
      </x:c>
      <x:c r="O74" s="52" t="n">
        <x:v>-7.294037</x:v>
      </x:c>
      <x:c r="P74" s="52" t="n">
        <x:v>16.263067</x:v>
      </x:c>
      <x:c r="Q74" s="52" t="n">
        <x:f>P74-O74</x:f>
        <x:v>23.557104</x:v>
      </x:c>
      <x:c r="R74" s="58" t="n">
        <x:v>52</x:v>
      </x:c>
      <x:c r="S74" s="58" t="n">
        <x:v>7</x:v>
      </x:c>
      <x:c r="T74" s="64" t="str">
        <x:v>profit_profitAmount</x:v>
      </x:c>
    </x:row>
    <x:row r="75">
      <x:c r="A75" s="61" t="str">
        <x:v>d4071ca3db810900ebc55e06cfb3975a</x:v>
      </x:c>
      <x:c r="B75" s="64" t="str">
        <x:v>A类：当前真实与预测均亏损，Top1预测转正</x:v>
      </x:c>
      <x:c r="C75" s="64" t="str">
        <x:v>较高（1.0–1.5倍）</x:v>
      </x:c>
      <x:c r="D75" s="49" t="n">
        <x:v>46259</x:v>
      </x:c>
      <x:c r="E75" s="61" t="str">
        <x:v>10000069</x:v>
      </x:c>
      <x:c r="F75" s="46" t="str">
        <x:v>腾讯汇聚P2P</x:v>
      </x:c>
      <x:c r="G75" s="52" t="n">
        <x:v>-167.65</x:v>
      </x:c>
      <x:c r="H75" s="52" t="n">
        <x:v>-66.242386</x:v>
      </x:c>
      <x:c r="I75" s="52" t="n">
        <x:f>ABS(G75-H75)</x:f>
        <x:v>101.40761400000001</x:v>
      </x:c>
      <x:c r="J75" s="61" t="str">
        <x:v>10000183</x:v>
      </x:c>
      <x:c r="K75" s="46" t="str">
        <x:v>B站专线-盒子</x:v>
      </x:c>
      <x:c r="L75" s="52" t="n">
        <x:v>82.36313</x:v>
      </x:c>
      <x:c r="M75" s="52" t="n">
        <x:f>L75-H75</x:f>
        <x:v>148.605516</x:v>
      </x:c>
      <x:c r="N75" s="55" t="n">
        <x:f>M75/MAX(I75,1)</x:f>
        <x:v>1.4654275959988565</x:v>
      </x:c>
      <x:c r="O75" s="52" t="n">
        <x:v>-47.13118</x:v>
      </x:c>
      <x:c r="P75" s="52" t="n">
        <x:v>105.46768</x:v>
      </x:c>
      <x:c r="Q75" s="52" t="n">
        <x:f>P75-O75</x:f>
        <x:v>152.59886</x:v>
      </x:c>
      <x:c r="R75" s="58" t="n">
        <x:v>96</x:v>
      </x:c>
      <x:c r="S75" s="58" t="n">
        <x:v>5</x:v>
      </x:c>
      <x:c r="T75" s="64" t="str">
        <x:v>profit_profitAmount</x:v>
      </x:c>
    </x:row>
    <x:row r="76">
      <x:c r="A76" s="61" t="str">
        <x:v>9167d7b84d459e543d1af78dd85ebc8a</x:v>
      </x:c>
      <x:c r="B76" s="64" t="str">
        <x:v>A类：当前真实与预测均亏损，Top1预测转正</x:v>
      </x:c>
      <x:c r="C76" s="64" t="str">
        <x:v>较高（1.0–1.5倍）</x:v>
      </x:c>
      <x:c r="D76" s="49" t="n">
        <x:v>46261</x:v>
      </x:c>
      <x:c r="E76" s="61" t="str">
        <x:v>10000074</x:v>
      </x:c>
      <x:c r="F76" s="46" t="str">
        <x:v>腾讯直连独立</x:v>
      </x:c>
      <x:c r="G76" s="52" t="n">
        <x:v>-4.44</x:v>
      </x:c>
      <x:c r="H76" s="52" t="n">
        <x:v>-20.926157</x:v>
      </x:c>
      <x:c r="I76" s="52" t="n">
        <x:f>ABS(G76-H76)</x:f>
        <x:v>16.486157</x:v>
      </x:c>
      <x:c r="J76" s="61" t="str">
        <x:v>10000183</x:v>
      </x:c>
      <x:c r="K76" s="46" t="str">
        <x:v>B站专线-盒子</x:v>
      </x:c>
      <x:c r="L76" s="52" t="n">
        <x:v>2.8197105</x:v>
      </x:c>
      <x:c r="M76" s="52" t="n">
        <x:f>L76-H76</x:f>
        <x:v>23.7458675</x:v>
      </x:c>
      <x:c r="N76" s="55" t="n">
        <x:f>M76/MAX(I76,1)</x:f>
        <x:v>1.440351896442573</x:v>
      </x:c>
      <x:c r="O76" s="52" t="n">
        <x:v>-21.033772</x:v>
      </x:c>
      <x:c r="P76" s="52" t="n">
        <x:v>12.748705</x:v>
      </x:c>
      <x:c r="Q76" s="52" t="n">
        <x:f>P76-O76</x:f>
        <x:v>33.782477</x:v>
      </x:c>
      <x:c r="R76" s="58" t="n">
        <x:v>96</x:v>
      </x:c>
      <x:c r="S76" s="58" t="n">
        <x:v>7</x:v>
      </x:c>
      <x:c r="T76" s="64" t="str">
        <x:v>profit_profitAmount</x:v>
      </x:c>
    </x:row>
    <x:row r="77">
      <x:c r="A77" s="61" t="str">
        <x:v>dc3ff20a7f5de72a750ad8ec888d8096</x:v>
      </x:c>
      <x:c r="B77" s="64" t="str">
        <x:v>A类：当前真实与预测均亏损，Top1预测转正</x:v>
      </x:c>
      <x:c r="C77" s="64" t="str">
        <x:v>较高（1.0–1.5倍）</x:v>
      </x:c>
      <x:c r="D77" s="49" t="n">
        <x:v>46261</x:v>
      </x:c>
      <x:c r="E77" s="61" t="str">
        <x:v>10000304</x:v>
      </x:c>
      <x:c r="F77" s="46" t="str">
        <x:v>快手严选</x:v>
      </x:c>
      <x:c r="G77" s="52" t="n">
        <x:v>-0.7</x:v>
      </x:c>
      <x:c r="H77" s="52" t="n">
        <x:v>-15.656872</x:v>
      </x:c>
      <x:c r="I77" s="52" t="n">
        <x:f>ABS(G77-H77)</x:f>
        <x:v>14.956872</x:v>
      </x:c>
      <x:c r="J77" s="61" t="str">
        <x:v>10000300</x:v>
      </x:c>
      <x:c r="K77" s="46" t="str">
        <x:v>B站-晚高峰21点</x:v>
      </x:c>
      <x:c r="L77" s="52" t="n">
        <x:v>4.8127527</x:v>
      </x:c>
      <x:c r="M77" s="52" t="n">
        <x:f>L77-H77</x:f>
        <x:v>20.4696247</x:v>
      </x:c>
      <x:c r="N77" s="55" t="n">
        <x:f>M77/MAX(I77,1)</x:f>
        <x:v>1.3685765780438583</x:v>
      </x:c>
      <x:c r="O77" s="52" t="n">
        <x:v>-12.991642</x:v>
      </x:c>
      <x:c r="P77" s="52" t="n">
        <x:v>13.618295</x:v>
      </x:c>
      <x:c r="Q77" s="52" t="n">
        <x:f>P77-O77</x:f>
        <x:v>26.609937000000002</x:v>
      </x:c>
      <x:c r="R77" s="58" t="n">
        <x:v>52</x:v>
      </x:c>
      <x:c r="S77" s="58" t="n">
        <x:v>7</x:v>
      </x:c>
      <x:c r="T77" s="64" t="str">
        <x:v>profit_profitAmount</x:v>
      </x:c>
    </x:row>
    <x:row r="78">
      <x:c r="A78" s="61" t="str">
        <x:v>53f5bb24be210349baf50ca7021fe84c</x:v>
      </x:c>
      <x:c r="B78" s="64" t="str">
        <x:v>A类：当前真实与预测均亏损，Top1预测转正</x:v>
      </x:c>
      <x:c r="C78" s="64" t="str">
        <x:v>较高（1.0–1.5倍）</x:v>
      </x:c>
      <x:c r="D78" s="49" t="n">
        <x:v>46261</x:v>
      </x:c>
      <x:c r="E78" s="61" t="str">
        <x:v>10000074</x:v>
      </x:c>
      <x:c r="F78" s="46" t="str">
        <x:v>腾讯直连独立</x:v>
      </x:c>
      <x:c r="G78" s="52" t="n">
        <x:v>-1.44</x:v>
      </x:c>
      <x:c r="H78" s="52" t="n">
        <x:v>-21.662924</x:v>
      </x:c>
      <x:c r="I78" s="52" t="n">
        <x:f>ABS(G78-H78)</x:f>
        <x:v>20.222924</x:v>
      </x:c>
      <x:c r="J78" s="61" t="str">
        <x:v>10000183</x:v>
      </x:c>
      <x:c r="K78" s="46" t="str">
        <x:v>B站专线-盒子</x:v>
      </x:c>
      <x:c r="L78" s="52" t="n">
        <x:v>6.0118876</x:v>
      </x:c>
      <x:c r="M78" s="52" t="n">
        <x:f>L78-H78</x:f>
        <x:v>27.674811599999998</x:v>
      </x:c>
      <x:c r="N78" s="55" t="n">
        <x:f>M78/MAX(I78,1)</x:f>
        <x:v>1.3684871485448888</x:v>
      </x:c>
      <x:c r="O78" s="52" t="n">
        <x:v>-20.164257</x:v>
      </x:c>
      <x:c r="P78" s="52" t="n">
        <x:v>62.237823</x:v>
      </x:c>
      <x:c r="Q78" s="52" t="n">
        <x:f>P78-O78</x:f>
        <x:v>82.40208</x:v>
      </x:c>
      <x:c r="R78" s="58" t="n">
        <x:v>96</x:v>
      </x:c>
      <x:c r="S78" s="58" t="n">
        <x:v>7</x:v>
      </x:c>
      <x:c r="T78" s="64" t="str">
        <x:v>profit_profitAmount</x:v>
      </x:c>
    </x:row>
    <x:row r="79">
      <x:c r="A79" s="61" t="str">
        <x:v>78ff4b4cbc06045af12fb590e8de542e</x:v>
      </x:c>
      <x:c r="B79" s="64" t="str">
        <x:v>A类：当前真实与预测均亏损，Top1预测转正</x:v>
      </x:c>
      <x:c r="C79" s="64" t="str">
        <x:v>较高（1.0–1.5倍）</x:v>
      </x:c>
      <x:c r="D79" s="49" t="n">
        <x:v>46261</x:v>
      </x:c>
      <x:c r="E79" s="61" t="str">
        <x:v>10000079</x:v>
      </x:c>
      <x:c r="F79" s="46" t="str">
        <x:v>字节架构汇聚V2</x:v>
      </x:c>
      <x:c r="G79" s="52" t="n">
        <x:v>-14.61</x:v>
      </x:c>
      <x:c r="H79" s="52" t="n">
        <x:v>-3.2734938</x:v>
      </x:c>
      <x:c r="I79" s="52" t="n">
        <x:f>ABS(G79-H79)</x:f>
        <x:v>11.336506199999999</x:v>
      </x:c>
      <x:c r="J79" s="61" t="str">
        <x:v>10000300</x:v>
      </x:c>
      <x:c r="K79" s="46" t="str">
        <x:v>B站-晚高峰21点</x:v>
      </x:c>
      <x:c r="L79" s="52" t="n">
        <x:v>12.186038</x:v>
      </x:c>
      <x:c r="M79" s="52" t="n">
        <x:f>L79-H79</x:f>
        <x:v>15.4595318</x:v>
      </x:c>
      <x:c r="N79" s="55" t="n">
        <x:f>M79/MAX(I79,1)</x:f>
        <x:v>1.363694556970295</x:v>
      </x:c>
      <x:c r="O79" s="52" t="n">
        <x:v>4.3771744</x:v>
      </x:c>
      <x:c r="P79" s="52" t="n">
        <x:v>17.440653</x:v>
      </x:c>
      <x:c r="Q79" s="52" t="n">
        <x:f>P79-O79</x:f>
        <x:v>13.0634786</x:v>
      </x:c>
      <x:c r="R79" s="58" t="n">
        <x:v>52</x:v>
      </x:c>
      <x:c r="S79" s="58" t="n">
        <x:v>7</x:v>
      </x:c>
      <x:c r="T79" s="64" t="str">
        <x:v>profit_profitAmount</x:v>
      </x:c>
    </x:row>
    <x:row r="80">
      <x:c r="A80" s="61" t="str">
        <x:v>c401c5ad197ce0699dc7269297b5d4a5</x:v>
      </x:c>
      <x:c r="B80" s="64" t="str">
        <x:v>A类：当前真实与预测均亏损，Top1预测转正</x:v>
      </x:c>
      <x:c r="C80" s="64" t="str">
        <x:v>较高（1.0–1.5倍）</x:v>
      </x:c>
      <x:c r="D80" s="49" t="n">
        <x:v>46261</x:v>
      </x:c>
      <x:c r="E80" s="61" t="str">
        <x:v>10000074</x:v>
      </x:c>
      <x:c r="F80" s="46" t="str">
        <x:v>腾讯直连独立</x:v>
      </x:c>
      <x:c r="G80" s="52" t="n">
        <x:v>-2.05</x:v>
      </x:c>
      <x:c r="H80" s="52" t="n">
        <x:v>-18.953346</x:v>
      </x:c>
      <x:c r="I80" s="52" t="n">
        <x:f>ABS(G80-H80)</x:f>
        <x:v>16.903346</x:v>
      </x:c>
      <x:c r="J80" s="61" t="str">
        <x:v>10000183</x:v>
      </x:c>
      <x:c r="K80" s="46" t="str">
        <x:v>B站专线-盒子</x:v>
      </x:c>
      <x:c r="L80" s="52" t="n">
        <x:v>4.0100865</x:v>
      </x:c>
      <x:c r="M80" s="52" t="n">
        <x:f>L80-H80</x:f>
        <x:v>22.9634325</x:v>
      </x:c>
      <x:c r="N80" s="55" t="n">
        <x:f>M80/MAX(I80,1)</x:f>
        <x:v>1.358514018467113</x:v>
      </x:c>
      <x:c r="O80" s="52" t="n">
        <x:v>-20.032055</x:v>
      </x:c>
      <x:c r="P80" s="52" t="n">
        <x:v>63.167328</x:v>
      </x:c>
      <x:c r="Q80" s="52" t="n">
        <x:f>P80-O80</x:f>
        <x:v>83.199383</x:v>
      </x:c>
      <x:c r="R80" s="58" t="n">
        <x:v>96</x:v>
      </x:c>
      <x:c r="S80" s="58" t="n">
        <x:v>7</x:v>
      </x:c>
      <x:c r="T80" s="64" t="str">
        <x:v>profit_profitAmount</x:v>
      </x:c>
    </x:row>
    <x:row r="81">
      <x:c r="A81" s="61" t="str">
        <x:v>ea5d2ba16d2a16170fa18a193a5c38f6</x:v>
      </x:c>
      <x:c r="B81" s="64" t="str">
        <x:v>A类：当前真实与预测均亏损，Top1预测转正</x:v>
      </x:c>
      <x:c r="C81" s="64" t="str">
        <x:v>较高（1.0–1.5倍）</x:v>
      </x:c>
      <x:c r="D81" s="49" t="n">
        <x:v>46261</x:v>
      </x:c>
      <x:c r="E81" s="61" t="str">
        <x:v>10000300</x:v>
      </x:c>
      <x:c r="F81" s="46" t="str">
        <x:v>B站-晚高峰21点</x:v>
      </x:c>
      <x:c r="G81" s="52" t="n">
        <x:v>-42</x:v>
      </x:c>
      <x:c r="H81" s="52" t="n">
        <x:v>-17.79262</x:v>
      </x:c>
      <x:c r="I81" s="52" t="n">
        <x:f>ABS(G81-H81)</x:f>
        <x:v>24.20738</x:v>
      </x:c>
      <x:c r="J81" s="61" t="str">
        <x:v>1382522065</x:v>
      </x:c>
      <x:c r="K81" s="46" t="str">
        <x:v>字节架构汇聚</x:v>
      </x:c>
      <x:c r="L81" s="52" t="n">
        <x:v>12.371754</x:v>
      </x:c>
      <x:c r="M81" s="52" t="n">
        <x:f>L81-H81</x:f>
        <x:v>30.164374</x:v>
      </x:c>
      <x:c r="N81" s="55" t="n">
        <x:f>M81/MAX(I81,1)</x:f>
        <x:v>1.2460817320998803</x:v>
      </x:c>
      <x:c r="O81" s="52" t="n">
        <x:v>-27.174099</x:v>
      </x:c>
      <x:c r="P81" s="52" t="n">
        <x:v>23.505545</x:v>
      </x:c>
      <x:c r="Q81" s="52" t="n">
        <x:f>P81-O81</x:f>
        <x:v>50.679643999999996</x:v>
      </x:c>
      <x:c r="R81" s="58" t="n">
        <x:v>19</x:v>
      </x:c>
      <x:c r="S81" s="58" t="n">
        <x:v>7</x:v>
      </x:c>
      <x:c r="T81" s="64" t="str">
        <x:v>profit_profitAmount</x:v>
      </x:c>
    </x:row>
    <x:row r="82">
      <x:c r="A82" s="61" t="str">
        <x:v>9554bc0e540f8c5c86e5634a943f8375</x:v>
      </x:c>
      <x:c r="B82" s="64" t="str">
        <x:v>A类：当前真实与预测均亏损，Top1预测转正</x:v>
      </x:c>
      <x:c r="C82" s="64" t="str">
        <x:v>较高（1.0–1.5倍）</x:v>
      </x:c>
      <x:c r="D82" s="49" t="n">
        <x:v>46261</x:v>
      </x:c>
      <x:c r="E82" s="61" t="str">
        <x:v>10000079</x:v>
      </x:c>
      <x:c r="F82" s="46" t="str">
        <x:v>字节架构汇聚V2</x:v>
      </x:c>
      <x:c r="G82" s="52" t="n">
        <x:v>-41.58</x:v>
      </x:c>
      <x:c r="H82" s="52" t="n">
        <x:v>-21.55117</x:v>
      </x:c>
      <x:c r="I82" s="52" t="n">
        <x:f>ABS(G82-H82)</x:f>
        <x:v>20.02883</x:v>
      </x:c>
      <x:c r="J82" s="61" t="str">
        <x:v>10000300</x:v>
      </x:c>
      <x:c r="K82" s="46" t="str">
        <x:v>B站-晚高峰21点</x:v>
      </x:c>
      <x:c r="L82" s="52" t="n">
        <x:v>2.6115308</x:v>
      </x:c>
      <x:c r="M82" s="52" t="n">
        <x:f>L82-H82</x:f>
        <x:v>24.1627008</x:v>
      </x:c>
      <x:c r="N82" s="55" t="n">
        <x:f>M82/MAX(I82,1)</x:f>
        <x:v>1.2063960201369726</x:v>
      </x:c>
      <x:c r="O82" s="52" t="n">
        <x:v>-29.895878</x:v>
      </x:c>
      <x:c r="P82" s="52" t="n">
        <x:v>13.194004</x:v>
      </x:c>
      <x:c r="Q82" s="52" t="n">
        <x:f>P82-O82</x:f>
        <x:v>43.089882</x:v>
      </x:c>
      <x:c r="R82" s="58" t="n">
        <x:v>52</x:v>
      </x:c>
      <x:c r="S82" s="58" t="n">
        <x:v>7</x:v>
      </x:c>
      <x:c r="T82" s="64" t="str">
        <x:v>profit_profitAmount</x:v>
      </x:c>
    </x:row>
    <x:row r="83">
      <x:c r="A83" s="61" t="str">
        <x:v>d8fd207acf850f109ef7830aff7dbd20</x:v>
      </x:c>
      <x:c r="B83" s="64" t="str">
        <x:v>A类：当前真实与预测均亏损，Top1预测转正</x:v>
      </x:c>
      <x:c r="C83" s="64" t="str">
        <x:v>较高（1.0–1.5倍）</x:v>
      </x:c>
      <x:c r="D83" s="49" t="n">
        <x:v>46261</x:v>
      </x:c>
      <x:c r="E83" s="61" t="str">
        <x:v>10000079</x:v>
      </x:c>
      <x:c r="F83" s="46" t="str">
        <x:v>字节架构汇聚V2</x:v>
      </x:c>
      <x:c r="G83" s="52" t="n">
        <x:v>-62.29</x:v>
      </x:c>
      <x:c r="H83" s="52" t="n">
        <x:v>-31.548203</x:v>
      </x:c>
      <x:c r="I83" s="52" t="n">
        <x:f>ABS(G83-H83)</x:f>
        <x:v>30.741797</x:v>
      </x:c>
      <x:c r="J83" s="61" t="str">
        <x:v>10000300</x:v>
      </x:c>
      <x:c r="K83" s="46" t="str">
        <x:v>B站-晚高峰21点</x:v>
      </x:c>
      <x:c r="L83" s="52" t="n">
        <x:v>5.242407</x:v>
      </x:c>
      <x:c r="M83" s="52" t="n">
        <x:f>L83-H83</x:f>
        <x:v>36.79061</x:v>
      </x:c>
      <x:c r="N83" s="55" t="n">
        <x:f>M83/MAX(I83,1)</x:f>
        <x:v>1.1967618548779047</x:v>
      </x:c>
      <x:c r="O83" s="52" t="n">
        <x:v>-30.3037</x:v>
      </x:c>
      <x:c r="P83" s="52" t="n">
        <x:v>21.39069</x:v>
      </x:c>
      <x:c r="Q83" s="52" t="n">
        <x:f>P83-O83</x:f>
        <x:v>51.69439</x:v>
      </x:c>
      <x:c r="R83" s="58" t="n">
        <x:v>52</x:v>
      </x:c>
      <x:c r="S83" s="58" t="n">
        <x:v>7</x:v>
      </x:c>
      <x:c r="T83" s="64" t="str">
        <x:v>profit_profitAmount</x:v>
      </x:c>
    </x:row>
    <x:row r="84">
      <x:c r="A84" s="61" t="str">
        <x:v>9377c4d69c0be1504487a66269117040</x:v>
      </x:c>
      <x:c r="B84" s="64" t="str">
        <x:v>A类：当前真实与预测均亏损，Top1预测转正</x:v>
      </x:c>
      <x:c r="C84" s="64" t="str">
        <x:v>较高（1.0–1.5倍）</x:v>
      </x:c>
      <x:c r="D84" s="49" t="n">
        <x:v>46261</x:v>
      </x:c>
      <x:c r="E84" s="61" t="str">
        <x:v>10000244</x:v>
      </x:c>
      <x:c r="F84" s="46" t="str">
        <x:v>B站专线-盒子V2</x:v>
      </x:c>
      <x:c r="G84" s="52" t="n">
        <x:v>-30.49</x:v>
      </x:c>
      <x:c r="H84" s="52" t="n">
        <x:v>-15.235558</x:v>
      </x:c>
      <x:c r="I84" s="52" t="n">
        <x:f>ABS(G84-H84)</x:f>
        <x:v>15.254442</x:v>
      </x:c>
      <x:c r="J84" s="61" t="str">
        <x:v>10000292</x:v>
      </x:c>
      <x:c r="K84" s="46" t="str">
        <x:v>__MISSING__</x:v>
      </x:c>
      <x:c r="L84" s="52" t="n">
        <x:v>2.554872</x:v>
      </x:c>
      <x:c r="M84" s="52" t="n">
        <x:f>L84-H84</x:f>
        <x:v>17.79043</x:v>
      </x:c>
      <x:c r="N84" s="55" t="n">
        <x:f>M84/MAX(I84,1)</x:f>
        <x:v>1.1662458712026307</x:v>
      </x:c>
      <x:c r="O84" s="52" t="n">
        <x:v>-22.507492</x:v>
      </x:c>
      <x:c r="P84" s="52" t="n">
        <x:v>28.19041</x:v>
      </x:c>
      <x:c r="Q84" s="52" t="n">
        <x:f>P84-O84</x:f>
        <x:v>50.697902</x:v>
      </x:c>
      <x:c r="R84" s="58" t="n">
        <x:v>1647</x:v>
      </x:c>
      <x:c r="S84" s="58" t="n">
        <x:v>4</x:v>
      </x:c>
      <x:c r="T84" s="64" t="str">
        <x:v>profit_profitAmount</x:v>
      </x:c>
    </x:row>
    <x:row r="85">
      <x:c r="A85" s="61" t="str">
        <x:v>3cd33cceae2589cfe3d6c18ac95689ae</x:v>
      </x:c>
      <x:c r="B85" s="64" t="str">
        <x:v>A类：当前真实与预测均亏损，Top1预测转正</x:v>
      </x:c>
      <x:c r="C85" s="64" t="str">
        <x:v>较高（1.0–1.5倍）</x:v>
      </x:c>
      <x:c r="D85" s="49" t="n">
        <x:v>46261</x:v>
      </x:c>
      <x:c r="E85" s="61" t="str">
        <x:v>10000304</x:v>
      </x:c>
      <x:c r="F85" s="46" t="str">
        <x:v>快手严选</x:v>
      </x:c>
      <x:c r="G85" s="52" t="n">
        <x:v>-171.46</x:v>
      </x:c>
      <x:c r="H85" s="52" t="n">
        <x:v>-44.44204</x:v>
      </x:c>
      <x:c r="I85" s="52" t="n">
        <x:f>ABS(G85-H85)</x:f>
        <x:v>127.01796000000002</x:v>
      </x:c>
      <x:c r="J85" s="61" t="str">
        <x:v>10000183</x:v>
      </x:c>
      <x:c r="K85" s="46" t="str">
        <x:v>B站专线-盒子</x:v>
      </x:c>
      <x:c r="L85" s="52" t="n">
        <x:v>85.739105</x:v>
      </x:c>
      <x:c r="M85" s="52" t="n">
        <x:f>L85-H85</x:f>
        <x:v>130.181145</x:v>
      </x:c>
      <x:c r="N85" s="55" t="n">
        <x:f>M85/MAX(I85,1)</x:f>
        <x:v>1.0249034467251716</x:v>
      </x:c>
      <x:c r="O85" s="52" t="n">
        <x:v>26.81544</x:v>
      </x:c>
      <x:c r="P85" s="52" t="n">
        <x:v>71.0831</x:v>
      </x:c>
      <x:c r="Q85" s="52" t="n">
        <x:f>P85-O85</x:f>
        <x:v>44.26766000000001</x:v>
      </x:c>
      <x:c r="R85" s="58" t="n">
        <x:v>96</x:v>
      </x:c>
      <x:c r="S85" s="58" t="n">
        <x:v>7</x:v>
      </x:c>
      <x:c r="T85" s="64" t="str">
        <x:v>profit_profitAmount</x:v>
      </x:c>
    </x:row>
    <x:row r="86">
      <x:c r="A86" s="61" t="str">
        <x:v>2cd7d7363491b804893d8720276e8a42</x:v>
      </x:c>
      <x:c r="B86" s="64" t="str">
        <x:v>B类：当前真实与预测均盈利，Top1增益超过当前预测误差</x:v>
      </x:c>
      <x:c r="C86" s="64" t="str">
        <x:v>很高（≥2.0倍）</x:v>
      </x:c>
      <x:c r="D86" s="49" t="n">
        <x:v>46261</x:v>
      </x:c>
      <x:c r="E86" s="61" t="str">
        <x:v>10000079</x:v>
      </x:c>
      <x:c r="F86" s="46" t="str">
        <x:v>字节架构汇聚V2</x:v>
      </x:c>
      <x:c r="G86" s="52" t="n">
        <x:v>0.34</x:v>
      </x:c>
      <x:c r="H86" s="52" t="n">
        <x:v>0.4638977</x:v>
      </x:c>
      <x:c r="I86" s="52" t="n">
        <x:f>ABS(G86-H86)</x:f>
        <x:v>0.1238977</x:v>
      </x:c>
      <x:c r="J86" s="61" t="str">
        <x:v>10000183</x:v>
      </x:c>
      <x:c r="K86" s="46" t="str">
        <x:v>B站专线-盒子</x:v>
      </x:c>
      <x:c r="L86" s="52" t="n">
        <x:v>199.1727</x:v>
      </x:c>
      <x:c r="M86" s="52" t="n">
        <x:f>L86-H86</x:f>
        <x:v>198.7088023</x:v>
      </x:c>
      <x:c r="N86" s="55" t="n">
        <x:f>M86/MAX(I86,1)</x:f>
        <x:v>198.7088023</x:v>
      </x:c>
      <x:c r="O86" s="52" t="n">
        <x:v>3.0300133</x:v>
      </x:c>
      <x:c r="P86" s="52" t="n">
        <x:v>108.611374</x:v>
      </x:c>
      <x:c r="Q86" s="52" t="n">
        <x:f>P86-O86</x:f>
        <x:v>105.5813607</x:v>
      </x:c>
      <x:c r="R86" s="58" t="n">
        <x:v>96</x:v>
      </x:c>
      <x:c r="S86" s="58" t="n">
        <x:v>7</x:v>
      </x:c>
      <x:c r="T86" s="64" t="str">
        <x:v>profit_profitAmount</x:v>
      </x:c>
    </x:row>
    <x:row r="87">
      <x:c r="A87" s="61" t="str">
        <x:v>e645dd55ac05ac6c096b7f79e93c3412</x:v>
      </x:c>
      <x:c r="B87" s="64" t="str">
        <x:v>B类：当前真实与预测均盈利，Top1增益超过当前预测误差</x:v>
      </x:c>
      <x:c r="C87" s="64" t="str">
        <x:v>很高（≥2.0倍）</x:v>
      </x:c>
      <x:c r="D87" s="49" t="n">
        <x:v>46261</x:v>
      </x:c>
      <x:c r="E87" s="61" t="str">
        <x:v>10000074</x:v>
      </x:c>
      <x:c r="F87" s="46" t="str">
        <x:v>腾讯直连独立</x:v>
      </x:c>
      <x:c r="G87" s="52" t="n">
        <x:v>4.47</x:v>
      </x:c>
      <x:c r="H87" s="52" t="n">
        <x:v>5.132557</x:v>
      </x:c>
      <x:c r="I87" s="52" t="n">
        <x:f>ABS(G87-H87)</x:f>
        <x:v>0.6625570000000005</x:v>
      </x:c>
      <x:c r="J87" s="61" t="str">
        <x:v>10000183</x:v>
      </x:c>
      <x:c r="K87" s="46" t="str">
        <x:v>B站专线-盒子</x:v>
      </x:c>
      <x:c r="L87" s="52" t="n">
        <x:v>112.51665</x:v>
      </x:c>
      <x:c r="M87" s="52" t="n">
        <x:f>L87-H87</x:f>
        <x:v>107.384093</x:v>
      </x:c>
      <x:c r="N87" s="55" t="n">
        <x:f>M87/MAX(I87,1)</x:f>
        <x:v>107.384093</x:v>
      </x:c>
      <x:c r="O87" s="52" t="n">
        <x:v>15.003254</x:v>
      </x:c>
      <x:c r="P87" s="52" t="n">
        <x:v>97.39673</x:v>
      </x:c>
      <x:c r="Q87" s="52" t="n">
        <x:f>P87-O87</x:f>
        <x:v>82.393476</x:v>
      </x:c>
      <x:c r="R87" s="58" t="n">
        <x:v>96</x:v>
      </x:c>
      <x:c r="S87" s="58" t="n">
        <x:v>7</x:v>
      </x:c>
      <x:c r="T87" s="64" t="str">
        <x:v>profit_profitAmount</x:v>
      </x:c>
    </x:row>
    <x:row r="88">
      <x:c r="A88" s="61" t="str">
        <x:v>985a33db1a00c9313428e94d77ce4725</x:v>
      </x:c>
      <x:c r="B88" s="64" t="str">
        <x:v>B类：当前真实与预测均盈利，Top1增益超过当前预测误差</x:v>
      </x:c>
      <x:c r="C88" s="64" t="str">
        <x:v>很高（≥2.0倍）</x:v>
      </x:c>
      <x:c r="D88" s="49" t="n">
        <x:v>46261</x:v>
      </x:c>
      <x:c r="E88" s="61" t="str">
        <x:v>10000019</x:v>
      </x:c>
      <x:c r="F88" s="46" t="str">
        <x:v>B站盒子</x:v>
      </x:c>
      <x:c r="G88" s="52" t="n">
        <x:v>0.02</x:v>
      </x:c>
      <x:c r="H88" s="52" t="n">
        <x:v>0</x:v>
      </x:c>
      <x:c r="I88" s="52" t="n">
        <x:f>ABS(G88-H88)</x:f>
        <x:v>0.02</x:v>
      </x:c>
      <x:c r="J88" s="61" t="str">
        <x:v>10000183</x:v>
      </x:c>
      <x:c r="K88" s="46" t="str">
        <x:v>B站专线-盒子</x:v>
      </x:c>
      <x:c r="L88" s="52" t="n">
        <x:v>90.08017</x:v>
      </x:c>
      <x:c r="M88" s="52" t="n">
        <x:f>L88-H88</x:f>
        <x:v>90.08017</x:v>
      </x:c>
      <x:c r="N88" s="55" t="n">
        <x:f>M88/MAX(I88,1)</x:f>
        <x:v>90.08017</x:v>
      </x:c>
      <x:c r="O88" s="52" t="n">
        <x:v>-11.520165</x:v>
      </x:c>
      <x:c r="P88" s="52" t="n">
        <x:v>60.91517</x:v>
      </x:c>
      <x:c r="Q88" s="52" t="n">
        <x:f>P88-O88</x:f>
        <x:v>72.43533500000001</x:v>
      </x:c>
      <x:c r="R88" s="58" t="n">
        <x:v>96</x:v>
      </x:c>
      <x:c r="S88" s="58" t="n">
        <x:v>7</x:v>
      </x:c>
      <x:c r="T88" s="64" t="str">
        <x:v>profit_profitAmount</x:v>
      </x:c>
    </x:row>
    <x:row r="89">
      <x:c r="A89" s="61" t="str">
        <x:v>9790995d01d22c02e5c8f5f81aa7302b</x:v>
      </x:c>
      <x:c r="B89" s="64" t="str">
        <x:v>B类：当前真实与预测均盈利，Top1增益超过当前预测误差</x:v>
      </x:c>
      <x:c r="C89" s="64" t="str">
        <x:v>很高（≥2.0倍）</x:v>
      </x:c>
      <x:c r="D89" s="49" t="n">
        <x:v>46261</x:v>
      </x:c>
      <x:c r="E89" s="61" t="str">
        <x:v>10000074</x:v>
      </x:c>
      <x:c r="F89" s="46" t="str">
        <x:v>腾讯直连独立</x:v>
      </x:c>
      <x:c r="G89" s="52" t="n">
        <x:v>14.25</x:v>
      </x:c>
      <x:c r="H89" s="52" t="n">
        <x:v>11.720215</x:v>
      </x:c>
      <x:c r="I89" s="52" t="n">
        <x:f>ABS(G89-H89)</x:f>
        <x:v>2.5297850000000004</x:v>
      </x:c>
      <x:c r="J89" s="61" t="str">
        <x:v>10000183</x:v>
      </x:c>
      <x:c r="K89" s="46" t="str">
        <x:v>B站专线-盒子</x:v>
      </x:c>
      <x:c r="L89" s="52" t="n">
        <x:v>209.37256</x:v>
      </x:c>
      <x:c r="M89" s="52" t="n">
        <x:f>L89-H89</x:f>
        <x:v>197.652345</x:v>
      </x:c>
      <x:c r="N89" s="55" t="n">
        <x:f>M89/MAX(I89,1)</x:f>
        <x:v>78.13009603582911</x:v>
      </x:c>
      <x:c r="O89" s="52" t="n">
        <x:v>13.814966</x:v>
      </x:c>
      <x:c r="P89" s="52" t="n">
        <x:v>62.745876</x:v>
      </x:c>
      <x:c r="Q89" s="52" t="n">
        <x:f>P89-O89</x:f>
        <x:v>48.930910000000004</x:v>
      </x:c>
      <x:c r="R89" s="58" t="n">
        <x:v>96</x:v>
      </x:c>
      <x:c r="S89" s="58" t="n">
        <x:v>7</x:v>
      </x:c>
      <x:c r="T89" s="64" t="str">
        <x:v>profit_profitAmount</x:v>
      </x:c>
    </x:row>
    <x:row r="90">
      <x:c r="A90" s="61" t="str">
        <x:v>60508f514f41d3a3f8c91e29d2915a23</x:v>
      </x:c>
      <x:c r="B90" s="64" t="str">
        <x:v>B类：当前真实与预测均盈利，Top1增益超过当前预测误差</x:v>
      </x:c>
      <x:c r="C90" s="64" t="str">
        <x:v>很高（≥2.0倍）</x:v>
      </x:c>
      <x:c r="D90" s="49" t="n">
        <x:v>46261</x:v>
      </x:c>
      <x:c r="E90" s="61" t="str">
        <x:v>10000295</x:v>
      </x:c>
      <x:c r="F90" s="46"/>
      <x:c r="G90" s="52" t="n">
        <x:v>0.03</x:v>
      </x:c>
      <x:c r="H90" s="52" t="n">
        <x:v>0</x:v>
      </x:c>
      <x:c r="I90" s="52" t="n">
        <x:f>ABS(G90-H90)</x:f>
        <x:v>0.03</x:v>
      </x:c>
      <x:c r="J90" s="61" t="str">
        <x:v>10000183</x:v>
      </x:c>
      <x:c r="K90" s="46" t="str">
        <x:v>B站专线-盒子</x:v>
      </x:c>
      <x:c r="L90" s="52" t="n">
        <x:v>68.034805</x:v>
      </x:c>
      <x:c r="M90" s="52" t="n">
        <x:f>L90-H90</x:f>
        <x:v>68.034805</x:v>
      </x:c>
      <x:c r="N90" s="55" t="n">
        <x:f>M90/MAX(I90,1)</x:f>
        <x:v>68.034805</x:v>
      </x:c>
      <x:c r="O90" s="52" t="n">
        <x:v>-6.427203</x:v>
      </x:c>
      <x:c r="P90" s="52" t="n">
        <x:v>148.23091</x:v>
      </x:c>
      <x:c r="Q90" s="52" t="n">
        <x:f>P90-O90</x:f>
        <x:v>154.658113</x:v>
      </x:c>
      <x:c r="R90" s="58" t="n">
        <x:v>96</x:v>
      </x:c>
      <x:c r="S90" s="58" t="n">
        <x:v>7</x:v>
      </x:c>
      <x:c r="T90" s="64" t="str">
        <x:v>profit_profitAmount</x:v>
      </x:c>
    </x:row>
    <x:row r="91">
      <x:c r="A91" s="61" t="str">
        <x:v>1118184e5fc47d5ab0560f13828b0974</x:v>
      </x:c>
      <x:c r="B91" s="64" t="str">
        <x:v>B类：当前真实与预测均盈利，Top1增益超过当前预测误差</x:v>
      </x:c>
      <x:c r="C91" s="64" t="str">
        <x:v>很高（≥2.0倍）</x:v>
      </x:c>
      <x:c r="D91" s="49" t="n">
        <x:v>46261</x:v>
      </x:c>
      <x:c r="E91" s="61" t="str">
        <x:v>10000295</x:v>
      </x:c>
      <x:c r="F91" s="46"/>
      <x:c r="G91" s="52" t="n">
        <x:v>0.45</x:v>
      </x:c>
      <x:c r="H91" s="52" t="n">
        <x:v>0</x:v>
      </x:c>
      <x:c r="I91" s="52" t="n">
        <x:f>ABS(G91-H91)</x:f>
        <x:v>0.45</x:v>
      </x:c>
      <x:c r="J91" s="61" t="str">
        <x:v>10000034</x:v>
      </x:c>
      <x:c r="K91" s="46" t="str">
        <x:v>优酷专线</x:v>
      </x:c>
      <x:c r="L91" s="52" t="n">
        <x:v>67.73576</x:v>
      </x:c>
      <x:c r="M91" s="52" t="n">
        <x:f>L91-H91</x:f>
        <x:v>67.73576</x:v>
      </x:c>
      <x:c r="N91" s="55" t="n">
        <x:f>M91/MAX(I91,1)</x:f>
        <x:v>67.73576</x:v>
      </x:c>
      <x:c r="O91" s="52" t="n">
        <x:v>-1.2967825</x:v>
      </x:c>
      <x:c r="P91" s="52" t="n">
        <x:v>91.73566</x:v>
      </x:c>
      <x:c r="Q91" s="52" t="n">
        <x:f>P91-O91</x:f>
        <x:v>93.0324425</x:v>
      </x:c>
      <x:c r="R91" s="58" t="n">
        <x:v>32</x:v>
      </x:c>
      <x:c r="S91" s="58" t="n">
        <x:v>7</x:v>
      </x:c>
      <x:c r="T91" s="64" t="str">
        <x:v>profit_profitAmount</x:v>
      </x:c>
    </x:row>
    <x:row r="92">
      <x:c r="A92" s="61" t="str">
        <x:v>ede93b36fdb5d271e1f96410c95db388</x:v>
      </x:c>
      <x:c r="B92" s="64" t="str">
        <x:v>B类：当前真实与预测均盈利，Top1增益超过当前预测误差</x:v>
      </x:c>
      <x:c r="C92" s="64" t="str">
        <x:v>很高（≥2.0倍）</x:v>
      </x:c>
      <x:c r="D92" s="49" t="n">
        <x:v>46261</x:v>
      </x:c>
      <x:c r="E92" s="61" t="str">
        <x:v>10000064</x:v>
      </x:c>
      <x:c r="F92" s="46" t="str">
        <x:v>百度小度</x:v>
      </x:c>
      <x:c r="G92" s="52" t="n">
        <x:v>0.5</x:v>
      </x:c>
      <x:c r="H92" s="52" t="n">
        <x:v>2.6897278</x:v>
      </x:c>
      <x:c r="I92" s="52" t="n">
        <x:f>ABS(G92-H92)</x:f>
        <x:v>2.1897278</x:v>
      </x:c>
      <x:c r="J92" s="61" t="str">
        <x:v>10000183</x:v>
      </x:c>
      <x:c r="K92" s="46" t="str">
        <x:v>B站专线-盒子</x:v>
      </x:c>
      <x:c r="L92" s="52" t="n">
        <x:v>137.21863</x:v>
      </x:c>
      <x:c r="M92" s="52" t="n">
        <x:f>L92-H92</x:f>
        <x:v>134.5289022</x:v>
      </x:c>
      <x:c r="N92" s="55" t="n">
        <x:f>M92/MAX(I92,1)</x:f>
        <x:v>61.436358528215244</x:v>
      </x:c>
      <x:c r="O92" s="52" t="n">
        <x:v>3.2845974</x:v>
      </x:c>
      <x:c r="P92" s="52" t="n">
        <x:v>153.0428</x:v>
      </x:c>
      <x:c r="Q92" s="52" t="n">
        <x:f>P92-O92</x:f>
        <x:v>149.7582026</x:v>
      </x:c>
      <x:c r="R92" s="58" t="n">
        <x:v>96</x:v>
      </x:c>
      <x:c r="S92" s="58" t="n">
        <x:v>7</x:v>
      </x:c>
      <x:c r="T92" s="64" t="str">
        <x:v>profit_profitAmount</x:v>
      </x:c>
    </x:row>
    <x:row r="93">
      <x:c r="A93" s="61" t="str">
        <x:v>57ede6c9bc126f629c199be79b501faf</x:v>
      </x:c>
      <x:c r="B93" s="64" t="str">
        <x:v>B类：当前真实与预测均盈利，Top1增益超过当前预测误差</x:v>
      </x:c>
      <x:c r="C93" s="64" t="str">
        <x:v>很高（≥2.0倍）</x:v>
      </x:c>
      <x:c r="D93" s="49" t="n">
        <x:v>46261</x:v>
      </x:c>
      <x:c r="E93" s="61" t="str">
        <x:v>10000244</x:v>
      </x:c>
      <x:c r="F93" s="46" t="str">
        <x:v>B站专线-盒子V2</x:v>
      </x:c>
      <x:c r="G93" s="52" t="n">
        <x:v>36.08</x:v>
      </x:c>
      <x:c r="H93" s="52" t="n">
        <x:v>37.125916</x:v>
      </x:c>
      <x:c r="I93" s="52" t="n">
        <x:f>ABS(G93-H93)</x:f>
        <x:v>1.0459159999999983</x:v>
      </x:c>
      <x:c r="J93" s="61" t="str">
        <x:v>10000183</x:v>
      </x:c>
      <x:c r="K93" s="46" t="str">
        <x:v>B站专线-盒子</x:v>
      </x:c>
      <x:c r="L93" s="52" t="n">
        <x:v>94.62949</x:v>
      </x:c>
      <x:c r="M93" s="52" t="n">
        <x:f>L93-H93</x:f>
        <x:v>57.50357400000001</x:v>
      </x:c>
      <x:c r="N93" s="55" t="n">
        <x:f>M93/MAX(I93,1)</x:f>
        <x:v>54.979151289396185</x:v>
      </x:c>
      <x:c r="O93" s="52" t="n">
        <x:v>26.389523</x:v>
      </x:c>
      <x:c r="P93" s="52" t="n">
        <x:v>55.828735</x:v>
      </x:c>
      <x:c r="Q93" s="52" t="n">
        <x:f>P93-O93</x:f>
        <x:v>29.439212</x:v>
      </x:c>
      <x:c r="R93" s="58" t="n">
        <x:v>96</x:v>
      </x:c>
      <x:c r="S93" s="58" t="n">
        <x:v>7</x:v>
      </x:c>
      <x:c r="T93" s="64" t="str">
        <x:v>profit_profitAmount</x:v>
      </x:c>
    </x:row>
    <x:row r="94">
      <x:c r="A94" s="61" t="str">
        <x:v>422c48845f6f2b0b54c323513ca30d1d</x:v>
      </x:c>
      <x:c r="B94" s="64" t="str">
        <x:v>B类：当前真实与预测均盈利，Top1增益超过当前预测误差</x:v>
      </x:c>
      <x:c r="C94" s="64" t="str">
        <x:v>很高（≥2.0倍）</x:v>
      </x:c>
      <x:c r="D94" s="49" t="n">
        <x:v>46261</x:v>
      </x:c>
      <x:c r="E94" s="61" t="str">
        <x:v>10000312</x:v>
      </x:c>
      <x:c r="F94" s="46" t="str">
        <x:v>金山云闲时</x:v>
      </x:c>
      <x:c r="G94" s="52" t="n">
        <x:v>27.57</x:v>
      </x:c>
      <x:c r="H94" s="52" t="n">
        <x:v>24.270115</x:v>
      </x:c>
      <x:c r="I94" s="52" t="n">
        <x:f>ABS(G94-H94)</x:f>
        <x:v>3.2998849999999997</x:v>
      </x:c>
      <x:c r="J94" s="61" t="str">
        <x:v>10000304</x:v>
      </x:c>
      <x:c r="K94" s="46" t="str">
        <x:v>快手严选</x:v>
      </x:c>
      <x:c r="L94" s="52" t="n">
        <x:v>202.70605</x:v>
      </x:c>
      <x:c r="M94" s="52" t="n">
        <x:f>L94-H94</x:f>
        <x:v>178.435935</x:v>
      </x:c>
      <x:c r="N94" s="55" t="n">
        <x:f>M94/MAX(I94,1)</x:f>
        <x:v>54.07337982990317</x:v>
      </x:c>
      <x:c r="O94" s="52" t="n">
        <x:v>5.6585464</x:v>
      </x:c>
      <x:c r="P94" s="52" t="n">
        <x:v>185.6243</x:v>
      </x:c>
      <x:c r="Q94" s="52" t="n">
        <x:f>P94-O94</x:f>
        <x:v>179.9657536</x:v>
      </x:c>
      <x:c r="R94" s="58" t="n">
        <x:v>393</x:v>
      </x:c>
      <x:c r="S94" s="58" t="n">
        <x:v>1</x:v>
      </x:c>
      <x:c r="T94" s="64" t="str">
        <x:v>profit_profitAmount</x:v>
      </x:c>
    </x:row>
    <x:row r="95">
      <x:c r="A95" s="61" t="str">
        <x:v>33721978ef1f66a12940971de134a950</x:v>
      </x:c>
      <x:c r="B95" s="64" t="str">
        <x:v>B类：当前真实与预测均盈利，Top1增益超过当前预测误差</x:v>
      </x:c>
      <x:c r="C95" s="64" t="str">
        <x:v>很高（≥2.0倍）</x:v>
      </x:c>
      <x:c r="D95" s="49" t="n">
        <x:v>46261</x:v>
      </x:c>
      <x:c r="E95" s="61" t="str">
        <x:v>10000292</x:v>
      </x:c>
      <x:c r="F95" s="46"/>
      <x:c r="G95" s="52" t="n">
        <x:v>0.74</x:v>
      </x:c>
      <x:c r="H95" s="52" t="n">
        <x:v>0</x:v>
      </x:c>
      <x:c r="I95" s="52" t="n">
        <x:f>ABS(G95-H95)</x:f>
        <x:v>0.74</x:v>
      </x:c>
      <x:c r="J95" s="61" t="str">
        <x:v>1382490022</x:v>
      </x:c>
      <x:c r="K95" s="46" t="str">
        <x:v>快手盒子</x:v>
      </x:c>
      <x:c r="L95" s="52" t="n">
        <x:v>47.096596</x:v>
      </x:c>
      <x:c r="M95" s="52" t="n">
        <x:f>L95-H95</x:f>
        <x:v>47.096596</x:v>
      </x:c>
      <x:c r="N95" s="55" t="n">
        <x:f>M95/MAX(I95,1)</x:f>
        <x:v>47.096596</x:v>
      </x:c>
      <x:c r="O95" s="52" t="n">
        <x:v>18.109951</x:v>
      </x:c>
      <x:c r="P95" s="52" t="n">
        <x:v>55.80512</x:v>
      </x:c>
      <x:c r="Q95" s="52" t="n">
        <x:f>P95-O95</x:f>
        <x:v>37.69516900000001</x:v>
      </x:c>
      <x:c r="R95" s="58" t="n">
        <x:v>76</x:v>
      </x:c>
      <x:c r="S95" s="58" t="n">
        <x:v>7</x:v>
      </x:c>
      <x:c r="T95" s="64" t="str">
        <x:v>profit_profitAmount</x:v>
      </x:c>
    </x:row>
    <x:row r="96">
      <x:c r="A96" s="61" t="str">
        <x:v>b2fcf4264ca497fe80c4f8187a6dca16</x:v>
      </x:c>
      <x:c r="B96" s="64" t="str">
        <x:v>B类：当前真实与预测均盈利，Top1增益超过当前预测误差</x:v>
      </x:c>
      <x:c r="C96" s="64" t="str">
        <x:v>很高（≥2.0倍）</x:v>
      </x:c>
      <x:c r="D96" s="49" t="n">
        <x:v>46261</x:v>
      </x:c>
      <x:c r="E96" s="61" t="str">
        <x:v>10000291</x:v>
      </x:c>
      <x:c r="F96" s="46"/>
      <x:c r="G96" s="52" t="n">
        <x:v>9.97</x:v>
      </x:c>
      <x:c r="H96" s="52" t="n">
        <x:v>7.1017838</x:v>
      </x:c>
      <x:c r="I96" s="52" t="n">
        <x:f>ABS(G96-H96)</x:f>
        <x:v>2.868216200000001</x:v>
      </x:c>
      <x:c r="J96" s="61" t="str">
        <x:v>10000183</x:v>
      </x:c>
      <x:c r="K96" s="46" t="str">
        <x:v>B站专线-盒子</x:v>
      </x:c>
      <x:c r="L96" s="52" t="n">
        <x:v>80.427986</x:v>
      </x:c>
      <x:c r="M96" s="52" t="n">
        <x:f>L96-H96</x:f>
        <x:v>73.32620220000001</x:v>
      </x:c>
      <x:c r="N96" s="55" t="n">
        <x:f>M96/MAX(I96,1)</x:f>
        <x:v>25.565088921818372</x:v>
      </x:c>
      <x:c r="O96" s="52" t="n">
        <x:v>11.43916</x:v>
      </x:c>
      <x:c r="P96" s="52" t="n">
        <x:v>75.2981</x:v>
      </x:c>
      <x:c r="Q96" s="52" t="n">
        <x:f>P96-O96</x:f>
        <x:v>63.858940000000004</x:v>
      </x:c>
      <x:c r="R96" s="58" t="n">
        <x:v>96</x:v>
      </x:c>
      <x:c r="S96" s="58" t="n">
        <x:v>7</x:v>
      </x:c>
      <x:c r="T96" s="64" t="str">
        <x:v>profit_profitAmount</x:v>
      </x:c>
    </x:row>
    <x:row r="97">
      <x:c r="A97" s="61" t="str">
        <x:v>5f890c8f7580b11d6a817526055377af</x:v>
      </x:c>
      <x:c r="B97" s="64" t="str">
        <x:v>B类：当前真实与预测均盈利，Top1增益超过当前预测误差</x:v>
      </x:c>
      <x:c r="C97" s="64" t="str">
        <x:v>很高（≥2.0倍）</x:v>
      </x:c>
      <x:c r="D97" s="49" t="n">
        <x:v>46261</x:v>
      </x:c>
      <x:c r="E97" s="61" t="str">
        <x:v>10000292</x:v>
      </x:c>
      <x:c r="F97" s="46"/>
      <x:c r="G97" s="52" t="n">
        <x:v>16.46</x:v>
      </x:c>
      <x:c r="H97" s="52" t="n">
        <x:v>17.52565</x:v>
      </x:c>
      <x:c r="I97" s="52" t="n">
        <x:f>ABS(G97-H97)</x:f>
        <x:v>1.065649999999998</x:v>
      </x:c>
      <x:c r="J97" s="61" t="str">
        <x:v>1382490022</x:v>
      </x:c>
      <x:c r="K97" s="46" t="str">
        <x:v>快手盒子</x:v>
      </x:c>
      <x:c r="L97" s="52" t="n">
        <x:v>38.052525</x:v>
      </x:c>
      <x:c r="M97" s="52" t="n">
        <x:f>L97-H97</x:f>
        <x:v>20.526875000000004</x:v>
      </x:c>
      <x:c r="N97" s="55" t="n">
        <x:f>M97/MAX(I97,1)</x:f>
        <x:v>19.26230469666405</x:v>
      </x:c>
      <x:c r="O97" s="52" t="n">
        <x:v>10.888284</x:v>
      </x:c>
      <x:c r="P97" s="52" t="n">
        <x:v>19.861023</x:v>
      </x:c>
      <x:c r="Q97" s="52" t="n">
        <x:f>P97-O97</x:f>
        <x:v>8.972738999999999</x:v>
      </x:c>
      <x:c r="R97" s="58" t="n">
        <x:v>76</x:v>
      </x:c>
      <x:c r="S97" s="58" t="n">
        <x:v>6</x:v>
      </x:c>
      <x:c r="T97" s="64" t="str">
        <x:v>profit_profitAmount</x:v>
      </x:c>
    </x:row>
    <x:row r="98">
      <x:c r="A98" s="61" t="str">
        <x:v>64eac81d00d9ac1e79781eee24dc6ff6</x:v>
      </x:c>
      <x:c r="B98" s="64" t="str">
        <x:v>B类：当前真实与预测均盈利，Top1增益超过当前预测误差</x:v>
      </x:c>
      <x:c r="C98" s="64" t="str">
        <x:v>很高（≥2.0倍）</x:v>
      </x:c>
      <x:c r="D98" s="49" t="n">
        <x:v>46257</x:v>
      </x:c>
      <x:c r="E98" s="61" t="str">
        <x:v>10000304</x:v>
      </x:c>
      <x:c r="F98" s="46" t="str">
        <x:v>快手严选</x:v>
      </x:c>
      <x:c r="G98" s="52" t="n">
        <x:v>32.37</x:v>
      </x:c>
      <x:c r="H98" s="52" t="n">
        <x:v>21.880264</x:v>
      </x:c>
      <x:c r="I98" s="52" t="n">
        <x:f>ABS(G98-H98)</x:f>
        <x:v>10.489735999999997</x:v>
      </x:c>
      <x:c r="J98" s="61" t="str">
        <x:v>10000183</x:v>
      </x:c>
      <x:c r="K98" s="46" t="str">
        <x:v>B站专线-盒子</x:v>
      </x:c>
      <x:c r="L98" s="52" t="n">
        <x:v>218.84377</x:v>
      </x:c>
      <x:c r="M98" s="52" t="n">
        <x:f>L98-H98</x:f>
        <x:v>196.963506</x:v>
      </x:c>
      <x:c r="N98" s="55" t="n">
        <x:f>M98/MAX(I98,1)</x:f>
        <x:v>18.77678389618195</x:v>
      </x:c>
      <x:c r="O98" s="52" t="n">
        <x:v>10.247263</x:v>
      </x:c>
      <x:c r="P98" s="52" t="n">
        <x:v>150.13269</x:v>
      </x:c>
      <x:c r="Q98" s="52" t="n">
        <x:f>P98-O98</x:f>
        <x:v>139.885427</x:v>
      </x:c>
      <x:c r="R98" s="58" t="n">
        <x:v>96</x:v>
      </x:c>
      <x:c r="S98" s="58" t="n">
        <x:v>3</x:v>
      </x:c>
      <x:c r="T98" s="64" t="str">
        <x:v>profit_profitAmount</x:v>
      </x:c>
    </x:row>
    <x:row r="99">
      <x:c r="A99" s="61" t="str">
        <x:v>7934cbee80600fd72519beed1eec9af3</x:v>
      </x:c>
      <x:c r="B99" s="64" t="str">
        <x:v>B类：当前真实与预测均盈利，Top1增益超过当前预测误差</x:v>
      </x:c>
      <x:c r="C99" s="64" t="str">
        <x:v>很高（≥2.0倍）</x:v>
      </x:c>
      <x:c r="D99" s="49" t="n">
        <x:v>46261</x:v>
      </x:c>
      <x:c r="E99" s="61" t="str">
        <x:v>10000079</x:v>
      </x:c>
      <x:c r="F99" s="46" t="str">
        <x:v>字节架构汇聚V2</x:v>
      </x:c>
      <x:c r="G99" s="52" t="n">
        <x:v>4.27</x:v>
      </x:c>
      <x:c r="H99" s="52" t="n">
        <x:v>5.466428</x:v>
      </x:c>
      <x:c r="I99" s="52" t="n">
        <x:f>ABS(G99-H99)</x:f>
        <x:v>1.196428</x:v>
      </x:c>
      <x:c r="J99" s="61" t="str">
        <x:v>10000244</x:v>
      </x:c>
      <x:c r="K99" s="46" t="str">
        <x:v>B站专线-盒子V2</x:v>
      </x:c>
      <x:c r="L99" s="52" t="n">
        <x:v>26.944916</x:v>
      </x:c>
      <x:c r="M99" s="52" t="n">
        <x:f>L99-H99</x:f>
        <x:v>21.478488</x:v>
      </x:c>
      <x:c r="N99" s="55" t="n">
        <x:f>M99/MAX(I99,1)</x:f>
        <x:v>17.952177648801264</x:v>
      </x:c>
      <x:c r="O99" s="52" t="n">
        <x:v>6.496875</x:v>
      </x:c>
      <x:c r="P99" s="52" t="n">
        <x:v>30.139307</x:v>
      </x:c>
      <x:c r="Q99" s="52" t="n">
        <x:f>P99-O99</x:f>
        <x:v>23.642432</x:v>
      </x:c>
      <x:c r="R99" s="58" t="n">
        <x:v>1318</x:v>
      </x:c>
      <x:c r="S99" s="58" t="n">
        <x:v>7</x:v>
      </x:c>
      <x:c r="T99" s="64" t="str">
        <x:v>profit_profitAmount</x:v>
      </x:c>
    </x:row>
    <x:row r="100">
      <x:c r="A100" s="61" t="str">
        <x:v>e9831cd98f11e79c197f6cb9829aef4b</x:v>
      </x:c>
      <x:c r="B100" s="64" t="str">
        <x:v>B类：当前真实与预测均盈利，Top1增益超过当前预测误差</x:v>
      </x:c>
      <x:c r="C100" s="64" t="str">
        <x:v>很高（≥2.0倍）</x:v>
      </x:c>
      <x:c r="D100" s="49" t="n">
        <x:v>46261</x:v>
      </x:c>
      <x:c r="E100" s="61" t="str">
        <x:v>10000123</x:v>
      </x:c>
      <x:c r="F100" s="46" t="str">
        <x:v>金山云ern_HQ</x:v>
      </x:c>
      <x:c r="G100" s="52" t="n">
        <x:v>0.23</x:v>
      </x:c>
      <x:c r="H100" s="52" t="n">
        <x:v>0</x:v>
      </x:c>
      <x:c r="I100" s="52" t="n">
        <x:f>ABS(G100-H100)</x:f>
        <x:v>0.23</x:v>
      </x:c>
      <x:c r="J100" s="61" t="str">
        <x:v>10000183</x:v>
      </x:c>
      <x:c r="K100" s="46" t="str">
        <x:v>B站专线-盒子</x:v>
      </x:c>
      <x:c r="L100" s="52" t="n">
        <x:v>16.313967</x:v>
      </x:c>
      <x:c r="M100" s="52" t="n">
        <x:f>L100-H100</x:f>
        <x:v>16.313967</x:v>
      </x:c>
      <x:c r="N100" s="55" t="n">
        <x:f>M100/MAX(I100,1)</x:f>
        <x:v>16.313967</x:v>
      </x:c>
      <x:c r="O100" s="52" t="n">
        <x:v>7.886303</x:v>
      </x:c>
      <x:c r="P100" s="52" t="n">
        <x:v>63.193237</x:v>
      </x:c>
      <x:c r="Q100" s="52" t="n">
        <x:f>P100-O100</x:f>
        <x:v>55.306934000000005</x:v>
      </x:c>
      <x:c r="R100" s="58" t="n">
        <x:v>96</x:v>
      </x:c>
      <x:c r="S100" s="58" t="n">
        <x:v>7</x:v>
      </x:c>
      <x:c r="T100" s="64" t="str">
        <x:v>profit_profitAmount</x:v>
      </x:c>
    </x:row>
    <x:row r="101">
      <x:c r="A101" s="61" t="str">
        <x:v>c1e288ab705b8dddc3ec787eb7fe752a</x:v>
      </x:c>
      <x:c r="B101" s="64" t="str">
        <x:v>B类：当前真实与预测均盈利，Top1增益超过当前预测误差</x:v>
      </x:c>
      <x:c r="C101" s="64" t="str">
        <x:v>很高（≥2.0倍）</x:v>
      </x:c>
      <x:c r="D101" s="49" t="n">
        <x:v>46261</x:v>
      </x:c>
      <x:c r="E101" s="61" t="str">
        <x:v>10000292</x:v>
      </x:c>
      <x:c r="F101" s="46"/>
      <x:c r="G101" s="52" t="n">
        <x:v>27.28</x:v>
      </x:c>
      <x:c r="H101" s="52" t="n">
        <x:v>13.898682</x:v>
      </x:c>
      <x:c r="I101" s="52" t="n">
        <x:f>ABS(G101-H101)</x:f>
        <x:v>13.381318</x:v>
      </x:c>
      <x:c r="J101" s="61" t="str">
        <x:v>10000183</x:v>
      </x:c>
      <x:c r="K101" s="46" t="str">
        <x:v>B站专线-盒子</x:v>
      </x:c>
      <x:c r="L101" s="52" t="n">
        <x:v>214.84578</x:v>
      </x:c>
      <x:c r="M101" s="52" t="n">
        <x:f>L101-H101</x:f>
        <x:v>200.94709799999998</x:v>
      </x:c>
      <x:c r="N101" s="55" t="n">
        <x:f>M101/MAX(I101,1)</x:f>
        <x:v>15.016988461076853</x:v>
      </x:c>
      <x:c r="O101" s="52" t="n">
        <x:v>10.65012</x:v>
      </x:c>
      <x:c r="P101" s="52" t="n">
        <x:v>247.7537</x:v>
      </x:c>
      <x:c r="Q101" s="52" t="n">
        <x:f>P101-O101</x:f>
        <x:v>237.10358000000002</x:v>
      </x:c>
      <x:c r="R101" s="58" t="n">
        <x:v>96</x:v>
      </x:c>
      <x:c r="S101" s="58" t="n">
        <x:v>7</x:v>
      </x:c>
      <x:c r="T101" s="64" t="str">
        <x:v>profit_profitAmount</x:v>
      </x:c>
    </x:row>
    <x:row r="102">
      <x:c r="A102" s="61" t="str">
        <x:v>90c96dc91e6e1ebbf0c581cc4c7a8ebe</x:v>
      </x:c>
      <x:c r="B102" s="64" t="str">
        <x:v>B类：当前真实与预测均盈利，Top1增益超过当前预测误差</x:v>
      </x:c>
      <x:c r="C102" s="64" t="str">
        <x:v>很高（≥2.0倍）</x:v>
      </x:c>
      <x:c r="D102" s="49" t="n">
        <x:v>46261</x:v>
      </x:c>
      <x:c r="E102" s="61" t="str">
        <x:v>10000312</x:v>
      </x:c>
      <x:c r="F102" s="46" t="str">
        <x:v>金山云闲时</x:v>
      </x:c>
      <x:c r="G102" s="52" t="n">
        <x:v>25.65</x:v>
      </x:c>
      <x:c r="H102" s="52" t="n">
        <x:v>12.28923</x:v>
      </x:c>
      <x:c r="I102" s="52" t="n">
        <x:f>ABS(G102-H102)</x:f>
        <x:v>13.360769999999999</x:v>
      </x:c>
      <x:c r="J102" s="61" t="str">
        <x:v>10000304</x:v>
      </x:c>
      <x:c r="K102" s="46" t="str">
        <x:v>快手严选</x:v>
      </x:c>
      <x:c r="L102" s="52" t="n">
        <x:v>207.8386</x:v>
      </x:c>
      <x:c r="M102" s="52" t="n">
        <x:f>L102-H102</x:f>
        <x:v>195.54937</x:v>
      </x:c>
      <x:c r="N102" s="55" t="n">
        <x:f>M102/MAX(I102,1)</x:f>
        <x:v>14.636085345380545</x:v>
      </x:c>
      <x:c r="O102" s="52" t="n">
        <x:v>7.928344</x:v>
      </x:c>
      <x:c r="P102" s="52" t="n">
        <x:v>238.82788</x:v>
      </x:c>
      <x:c r="Q102" s="52" t="n">
        <x:f>P102-O102</x:f>
        <x:v>230.89953599999998</x:v>
      </x:c>
      <x:c r="R102" s="58" t="n">
        <x:v>393</x:v>
      </x:c>
      <x:c r="S102" s="58" t="n">
        <x:v>1</x:v>
      </x:c>
      <x:c r="T102" s="64" t="str">
        <x:v>profit_profitAmount</x:v>
      </x:c>
    </x:row>
    <x:row r="103">
      <x:c r="A103" s="61" t="str">
        <x:v>4adb4d4a143f41298c37b64e962df8da</x:v>
      </x:c>
      <x:c r="B103" s="64" t="str">
        <x:v>B类：当前真实与预测均盈利，Top1增益超过当前预测误差</x:v>
      </x:c>
      <x:c r="C103" s="64" t="str">
        <x:v>很高（≥2.0倍）</x:v>
      </x:c>
      <x:c r="D103" s="49" t="n">
        <x:v>46261</x:v>
      </x:c>
      <x:c r="E103" s="61" t="str">
        <x:v>10000292</x:v>
      </x:c>
      <x:c r="F103" s="46"/>
      <x:c r="G103" s="52" t="n">
        <x:v>2.02</x:v>
      </x:c>
      <x:c r="H103" s="52" t="n">
        <x:v>0</x:v>
      </x:c>
      <x:c r="I103" s="52" t="n">
        <x:f>ABS(G103-H103)</x:f>
        <x:v>2.02</x:v>
      </x:c>
      <x:c r="J103" s="61" t="str">
        <x:v>10000244</x:v>
      </x:c>
      <x:c r="K103" s="46" t="str">
        <x:v>B站专线-盒子V2</x:v>
      </x:c>
      <x:c r="L103" s="52" t="n">
        <x:v>29.556328</x:v>
      </x:c>
      <x:c r="M103" s="52" t="n">
        <x:f>L103-H103</x:f>
        <x:v>29.556328</x:v>
      </x:c>
      <x:c r="N103" s="55" t="n">
        <x:f>M103/MAX(I103,1)</x:f>
        <x:v>14.631845544554455</x:v>
      </x:c>
      <x:c r="O103" s="52" t="n">
        <x:v>10.587038</x:v>
      </x:c>
      <x:c r="P103" s="52" t="n">
        <x:v>28.37787</x:v>
      </x:c>
      <x:c r="Q103" s="52" t="n">
        <x:f>P103-O103</x:f>
        <x:v>17.790832</x:v>
      </x:c>
      <x:c r="R103" s="58" t="n">
        <x:v>1318</x:v>
      </x:c>
      <x:c r="S103" s="58" t="n">
        <x:v>7</x:v>
      </x:c>
      <x:c r="T103" s="64" t="str">
        <x:v>profit_profitAmount</x:v>
      </x:c>
    </x:row>
    <x:row r="104">
      <x:c r="A104" s="61" t="str">
        <x:v>b9279c00f36f4ae08a0786b15bc0163a</x:v>
      </x:c>
      <x:c r="B104" s="64" t="str">
        <x:v>B类：当前真实与预测均盈利，Top1增益超过当前预测误差</x:v>
      </x:c>
      <x:c r="C104" s="64" t="str">
        <x:v>很高（≥2.0倍）</x:v>
      </x:c>
      <x:c r="D104" s="49" t="n">
        <x:v>46261</x:v>
      </x:c>
      <x:c r="E104" s="61" t="str">
        <x:v>10000123</x:v>
      </x:c>
      <x:c r="F104" s="46" t="str">
        <x:v>金山云ern_HQ</x:v>
      </x:c>
      <x:c r="G104" s="52" t="n">
        <x:v>27.78</x:v>
      </x:c>
      <x:c r="H104" s="52" t="n">
        <x:v>28.864502</x:v>
      </x:c>
      <x:c r="I104" s="52" t="n">
        <x:f>ABS(G104-H104)</x:f>
        <x:v>1.0845020000000005</x:v>
      </x:c>
      <x:c r="J104" s="61" t="str">
        <x:v>10000122</x:v>
      </x:c>
      <x:c r="K104" s="46" t="str">
        <x:v>金山云汇聚ern</x:v>
      </x:c>
      <x:c r="L104" s="52" t="n">
        <x:v>44.44558</x:v>
      </x:c>
      <x:c r="M104" s="52" t="n">
        <x:f>L104-H104</x:f>
        <x:v>15.581077999999998</x:v>
      </x:c>
      <x:c r="N104" s="55" t="n">
        <x:f>M104/MAX(I104,1)</x:f>
        <x:v>14.367034823356702</x:v>
      </x:c>
      <x:c r="O104" s="52" t="n">
        <x:v>34.062057</x:v>
      </x:c>
      <x:c r="P104" s="52" t="n">
        <x:v>47.641598</x:v>
      </x:c>
      <x:c r="Q104" s="52" t="n">
        <x:f>P104-O104</x:f>
        <x:v>13.579540999999999</x:v>
      </x:c>
      <x:c r="R104" s="58" t="n">
        <x:v>114</x:v>
      </x:c>
      <x:c r="S104" s="58" t="n">
        <x:v>7</x:v>
      </x:c>
      <x:c r="T104" s="64" t="str">
        <x:v>profit_profitAmount</x:v>
      </x:c>
    </x:row>
    <x:row r="105">
      <x:c r="A105" s="61" t="str">
        <x:v>86c2ab326306c9cd2e1478b50ab76306</x:v>
      </x:c>
      <x:c r="B105" s="64" t="str">
        <x:v>B类：当前真实与预测均盈利，Top1增益超过当前预测误差</x:v>
      </x:c>
      <x:c r="C105" s="64" t="str">
        <x:v>很高（≥2.0倍）</x:v>
      </x:c>
      <x:c r="D105" s="49" t="n">
        <x:v>46257</x:v>
      </x:c>
      <x:c r="E105" s="61" t="str">
        <x:v>10000079</x:v>
      </x:c>
      <x:c r="F105" s="46" t="str">
        <x:v>字节架构汇聚V2</x:v>
      </x:c>
      <x:c r="G105" s="52" t="n">
        <x:v>11.85</x:v>
      </x:c>
      <x:c r="H105" s="52" t="n">
        <x:v>9.28389</x:v>
      </x:c>
      <x:c r="I105" s="52" t="n">
        <x:f>ABS(G105-H105)</x:f>
        <x:v>2.56611</x:v>
      </x:c>
      <x:c r="J105" s="61" t="str">
        <x:v>10000183</x:v>
      </x:c>
      <x:c r="K105" s="46" t="str">
        <x:v>B站专线-盒子</x:v>
      </x:c>
      <x:c r="L105" s="52" t="n">
        <x:v>45.79949</x:v>
      </x:c>
      <x:c r="M105" s="52" t="n">
        <x:f>L105-H105</x:f>
        <x:v>36.5156</x:v>
      </x:c>
      <x:c r="N105" s="55" t="n">
        <x:f>M105/MAX(I105,1)</x:f>
        <x:v>14.229943377329887</x:v>
      </x:c>
      <x:c r="O105" s="52" t="n">
        <x:v>18.200466</x:v>
      </x:c>
      <x:c r="P105" s="52" t="n">
        <x:v>57.07727</x:v>
      </x:c>
      <x:c r="Q105" s="52" t="n">
        <x:f>P105-O105</x:f>
        <x:v>38.876804</x:v>
      </x:c>
      <x:c r="R105" s="58" t="n">
        <x:v>96</x:v>
      </x:c>
      <x:c r="S105" s="58" t="n">
        <x:v>3</x:v>
      </x:c>
      <x:c r="T105" s="64" t="str">
        <x:v>profit_profitAmount</x:v>
      </x:c>
    </x:row>
    <x:row r="106">
      <x:c r="A106" s="61" t="str">
        <x:v>000f0e4c12c85746cb181feb196b4cd4</x:v>
      </x:c>
      <x:c r="B106" s="64" t="str">
        <x:v>B类：当前真实与预测均盈利，Top1增益超过当前预测误差</x:v>
      </x:c>
      <x:c r="C106" s="64" t="str">
        <x:v>很高（≥2.0倍）</x:v>
      </x:c>
      <x:c r="D106" s="49" t="n">
        <x:v>46261</x:v>
      </x:c>
      <x:c r="E106" s="61" t="str">
        <x:v>10000244</x:v>
      </x:c>
      <x:c r="F106" s="46" t="str">
        <x:v>B站专线-盒子V2</x:v>
      </x:c>
      <x:c r="G106" s="52" t="n">
        <x:v>3.63</x:v>
      </x:c>
      <x:c r="H106" s="52" t="n">
        <x:v>2.2762833</x:v>
      </x:c>
      <x:c r="I106" s="52" t="n">
        <x:f>ABS(G106-H106)</x:f>
        <x:v>1.3537167</x:v>
      </x:c>
      <x:c r="J106" s="61" t="str">
        <x:v>1382490022</x:v>
      </x:c>
      <x:c r="K106" s="46" t="str">
        <x:v>快手盒子</x:v>
      </x:c>
      <x:c r="L106" s="52" t="n">
        <x:v>21.066204</x:v>
      </x:c>
      <x:c r="M106" s="52" t="n">
        <x:f>L106-H106</x:f>
        <x:v>18.7899207</x:v>
      </x:c>
      <x:c r="N106" s="55" t="n">
        <x:f>M106/MAX(I106,1)</x:f>
        <x:v>13.880245918514559</x:v>
      </x:c>
      <x:c r="O106" s="52" t="n">
        <x:v>4.164445</x:v>
      </x:c>
      <x:c r="P106" s="52" t="n">
        <x:v>31.359327</x:v>
      </x:c>
      <x:c r="Q106" s="52" t="n">
        <x:f>P106-O106</x:f>
        <x:v>27.194882</x:v>
      </x:c>
      <x:c r="R106" s="58" t="n">
        <x:v>76</x:v>
      </x:c>
      <x:c r="S106" s="58" t="n">
        <x:v>7</x:v>
      </x:c>
      <x:c r="T106" s="64" t="str">
        <x:v>profit_profitAmount</x:v>
      </x:c>
    </x:row>
    <x:row r="107">
      <x:c r="A107" s="61" t="str">
        <x:v>2919d6b48c568388dba539343089fd2f</x:v>
      </x:c>
      <x:c r="B107" s="64" t="str">
        <x:v>B类：当前真实与预测均盈利，Top1增益超过当前预测误差</x:v>
      </x:c>
      <x:c r="C107" s="64" t="str">
        <x:v>很高（≥2.0倍）</x:v>
      </x:c>
      <x:c r="D107" s="49" t="n">
        <x:v>46261</x:v>
      </x:c>
      <x:c r="E107" s="61" t="str">
        <x:v>10000064</x:v>
      </x:c>
      <x:c r="F107" s="46" t="str">
        <x:v>百度小度</x:v>
      </x:c>
      <x:c r="G107" s="52" t="n">
        <x:v>8.41</x:v>
      </x:c>
      <x:c r="H107" s="52" t="n">
        <x:v>0</x:v>
      </x:c>
      <x:c r="I107" s="52" t="n">
        <x:f>ABS(G107-H107)</x:f>
        <x:v>8.41</x:v>
      </x:c>
      <x:c r="J107" s="61" t="str">
        <x:v>10000183</x:v>
      </x:c>
      <x:c r="K107" s="46" t="str">
        <x:v>B站专线-盒子</x:v>
      </x:c>
      <x:c r="L107" s="52" t="n">
        <x:v>108.892624</x:v>
      </x:c>
      <x:c r="M107" s="52" t="n">
        <x:f>L107-H107</x:f>
        <x:v>108.892624</x:v>
      </x:c>
      <x:c r="N107" s="55" t="n">
        <x:f>M107/MAX(I107,1)</x:f>
        <x:v>12.947993341260403</x:v>
      </x:c>
      <x:c r="O107" s="52" t="n">
        <x:v>-20.217928</x:v>
      </x:c>
      <x:c r="P107" s="52" t="n">
        <x:v>87.80062</x:v>
      </x:c>
      <x:c r="Q107" s="52" t="n">
        <x:f>P107-O107</x:f>
        <x:v>108.018548</x:v>
      </x:c>
      <x:c r="R107" s="58" t="n">
        <x:v>96</x:v>
      </x:c>
      <x:c r="S107" s="58" t="n">
        <x:v>3</x:v>
      </x:c>
      <x:c r="T107" s="64" t="str">
        <x:v>profit_profitAmount</x:v>
      </x:c>
    </x:row>
    <x:row r="108">
      <x:c r="A108" s="61" t="str">
        <x:v>8ba078dc38705ebff1570c3e588bce43</x:v>
      </x:c>
      <x:c r="B108" s="64" t="str">
        <x:v>B类：当前真实与预测均盈利，Top1增益超过当前预测误差</x:v>
      </x:c>
      <x:c r="C108" s="64" t="str">
        <x:v>很高（≥2.0倍）</x:v>
      </x:c>
      <x:c r="D108" s="49" t="n">
        <x:v>46261</x:v>
      </x:c>
      <x:c r="E108" s="61" t="str">
        <x:v>1382680008</x:v>
      </x:c>
      <x:c r="F108" s="46" t="str">
        <x:v>字节CDN专线</x:v>
      </x:c>
      <x:c r="G108" s="52" t="n">
        <x:v>116.39</x:v>
      </x:c>
      <x:c r="H108" s="52" t="n">
        <x:v>121.10248</x:v>
      </x:c>
      <x:c r="I108" s="52" t="n">
        <x:f>ABS(G108-H108)</x:f>
        <x:v>4.712479999999999</x:v>
      </x:c>
      <x:c r="J108" s="61" t="str">
        <x:v>10000304</x:v>
      </x:c>
      <x:c r="K108" s="46" t="str">
        <x:v>快手严选</x:v>
      </x:c>
      <x:c r="L108" s="52" t="n">
        <x:v>181.21613</x:v>
      </x:c>
      <x:c r="M108" s="52" t="n">
        <x:f>L108-H108</x:f>
        <x:v>60.11364999999999</x:v>
      </x:c>
      <x:c r="N108" s="55" t="n">
        <x:f>M108/MAX(I108,1)</x:f>
        <x:v>12.756266339591892</x:v>
      </x:c>
      <x:c r="O108" s="52" t="n">
        <x:v>121.29815</x:v>
      </x:c>
      <x:c r="P108" s="52" t="n">
        <x:v>208.3704</x:v>
      </x:c>
      <x:c r="Q108" s="52" t="n">
        <x:f>P108-O108</x:f>
        <x:v>87.07224999999998</x:v>
      </x:c>
      <x:c r="R108" s="58" t="n">
        <x:v>393</x:v>
      </x:c>
      <x:c r="S108" s="58" t="n">
        <x:v>7</x:v>
      </x:c>
      <x:c r="T108" s="64" t="str">
        <x:v>profit_profitAmount</x:v>
      </x:c>
    </x:row>
    <x:row r="109">
      <x:c r="A109" s="61" t="str">
        <x:v>62342653ddafbdc3cfa909330df58711</x:v>
      </x:c>
      <x:c r="B109" s="64" t="str">
        <x:v>B类：当前真实与预测均盈利，Top1增益超过当前预测误差</x:v>
      </x:c>
      <x:c r="C109" s="64" t="str">
        <x:v>很高（≥2.0倍）</x:v>
      </x:c>
      <x:c r="D109" s="49" t="n">
        <x:v>46261</x:v>
      </x:c>
      <x:c r="E109" s="61" t="str">
        <x:v>10000304</x:v>
      </x:c>
      <x:c r="F109" s="46" t="str">
        <x:v>快手严选</x:v>
      </x:c>
      <x:c r="G109" s="52" t="n">
        <x:v>32.45</x:v>
      </x:c>
      <x:c r="H109" s="52" t="n">
        <x:v>27.548355</x:v>
      </x:c>
      <x:c r="I109" s="52" t="n">
        <x:f>ABS(G109-H109)</x:f>
        <x:v>4.901645000000002</x:v>
      </x:c>
      <x:c r="J109" s="61" t="str">
        <x:v>10000183</x:v>
      </x:c>
      <x:c r="K109" s="46" t="str">
        <x:v>B站专线-盒子</x:v>
      </x:c>
      <x:c r="L109" s="52" t="n">
        <x:v>88.10293</x:v>
      </x:c>
      <x:c r="M109" s="52" t="n">
        <x:f>L109-H109</x:f>
        <x:v>60.554575</x:v>
      </x:c>
      <x:c r="N109" s="55" t="n">
        <x:f>M109/MAX(I109,1)</x:f>
        <x:v>12.3539291401152</x:v>
      </x:c>
      <x:c r="O109" s="52" t="n">
        <x:v>35.908844</x:v>
      </x:c>
      <x:c r="P109" s="52" t="n">
        <x:v>48.943287</x:v>
      </x:c>
      <x:c r="Q109" s="52" t="n">
        <x:f>P109-O109</x:f>
        <x:v>13.034442999999996</x:v>
      </x:c>
      <x:c r="R109" s="58" t="n">
        <x:v>96</x:v>
      </x:c>
      <x:c r="S109" s="58" t="n">
        <x:v>7</x:v>
      </x:c>
      <x:c r="T109" s="64" t="str">
        <x:v>profit_profitAmount</x:v>
      </x:c>
    </x:row>
    <x:row r="110">
      <x:c r="A110" s="61" t="str">
        <x:v>e000c74827c79b67efc4d2e4c716ae3f</x:v>
      </x:c>
      <x:c r="B110" s="64" t="str">
        <x:v>B类：当前真实与预测均盈利，Top1增益超过当前预测误差</x:v>
      </x:c>
      <x:c r="C110" s="64" t="str">
        <x:v>很高（≥2.0倍）</x:v>
      </x:c>
      <x:c r="D110" s="49" t="n">
        <x:v>46261</x:v>
      </x:c>
      <x:c r="E110" s="61" t="str">
        <x:v>10000292</x:v>
      </x:c>
      <x:c r="F110" s="46"/>
      <x:c r="G110" s="52" t="n">
        <x:v>7.1</x:v>
      </x:c>
      <x:c r="H110" s="52" t="n">
        <x:v>0</x:v>
      </x:c>
      <x:c r="I110" s="52" t="n">
        <x:f>ABS(G110-H110)</x:f>
        <x:v>7.1</x:v>
      </x:c>
      <x:c r="J110" s="61" t="str">
        <x:v>10000304</x:v>
      </x:c>
      <x:c r="K110" s="46" t="str">
        <x:v>快手严选</x:v>
      </x:c>
      <x:c r="L110" s="52" t="n">
        <x:v>83.76997</x:v>
      </x:c>
      <x:c r="M110" s="52" t="n">
        <x:f>L110-H110</x:f>
        <x:v>83.76997</x:v>
      </x:c>
      <x:c r="N110" s="55" t="n">
        <x:f>M110/MAX(I110,1)</x:f>
        <x:v>11.798587323943662</x:v>
      </x:c>
      <x:c r="O110" s="52" t="n">
        <x:v>5.658235</x:v>
      </x:c>
      <x:c r="P110" s="52" t="n">
        <x:v>165.40181</x:v>
      </x:c>
      <x:c r="Q110" s="52" t="n">
        <x:f>P110-O110</x:f>
        <x:v>159.74357500000002</x:v>
      </x:c>
      <x:c r="R110" s="58" t="n">
        <x:v>393</x:v>
      </x:c>
      <x:c r="S110" s="58" t="n">
        <x:v>7</x:v>
      </x:c>
      <x:c r="T110" s="64" t="str">
        <x:v>profit_profitAmount</x:v>
      </x:c>
    </x:row>
    <x:row r="111">
      <x:c r="A111" s="61" t="str">
        <x:v>ee4f530af8476ef777cf6b647574143f</x:v>
      </x:c>
      <x:c r="B111" s="64" t="str">
        <x:v>B类：当前真实与预测均盈利，Top1增益超过当前预测误差</x:v>
      </x:c>
      <x:c r="C111" s="64" t="str">
        <x:v>很高（≥2.0倍）</x:v>
      </x:c>
      <x:c r="D111" s="49" t="n">
        <x:v>46261</x:v>
      </x:c>
      <x:c r="E111" s="61" t="str">
        <x:v>10000292</x:v>
      </x:c>
      <x:c r="F111" s="46"/>
      <x:c r="G111" s="52" t="n">
        <x:v>2.01</x:v>
      </x:c>
      <x:c r="H111" s="52" t="n">
        <x:v>10.702178</x:v>
      </x:c>
      <x:c r="I111" s="52" t="n">
        <x:f>ABS(G111-H111)</x:f>
        <x:v>8.692178</x:v>
      </x:c>
      <x:c r="J111" s="61" t="str">
        <x:v>10000183</x:v>
      </x:c>
      <x:c r="K111" s="46" t="str">
        <x:v>B站专线-盒子</x:v>
      </x:c>
      <x:c r="L111" s="52" t="n">
        <x:v>101.03244</x:v>
      </x:c>
      <x:c r="M111" s="52" t="n">
        <x:f>L111-H111</x:f>
        <x:v>90.33026199999999</x:v>
      </x:c>
      <x:c r="N111" s="55" t="n">
        <x:f>M111/MAX(I111,1)</x:f>
        <x:v>10.392132098537328</x:v>
      </x:c>
      <x:c r="O111" s="52" t="n">
        <x:v>4.7265153</x:v>
      </x:c>
      <x:c r="P111" s="52" t="n">
        <x:v>206.35332</x:v>
      </x:c>
      <x:c r="Q111" s="52" t="n">
        <x:f>P111-O111</x:f>
        <x:v>201.6268047</x:v>
      </x:c>
      <x:c r="R111" s="58" t="n">
        <x:v>96</x:v>
      </x:c>
      <x:c r="S111" s="58" t="n">
        <x:v>7</x:v>
      </x:c>
      <x:c r="T111" s="64" t="str">
        <x:v>profit_profitAmount</x:v>
      </x:c>
    </x:row>
    <x:row r="112">
      <x:c r="A112" s="61" t="str">
        <x:v>01dbe3371227219b9cd6d29c3c134bb9</x:v>
      </x:c>
      <x:c r="B112" s="64" t="str">
        <x:v>B类：当前真实与预测均盈利，Top1增益超过当前预测误差</x:v>
      </x:c>
      <x:c r="C112" s="64" t="str">
        <x:v>很高（≥2.0倍）</x:v>
      </x:c>
      <x:c r="D112" s="49" t="n">
        <x:v>46261</x:v>
      </x:c>
      <x:c r="E112" s="61" t="str">
        <x:v>10000292</x:v>
      </x:c>
      <x:c r="F112" s="46"/>
      <x:c r="G112" s="52" t="n">
        <x:v>3.29</x:v>
      </x:c>
      <x:c r="H112" s="52" t="n">
        <x:v>0</x:v>
      </x:c>
      <x:c r="I112" s="52" t="n">
        <x:f>ABS(G112-H112)</x:f>
        <x:v>3.29</x:v>
      </x:c>
      <x:c r="J112" s="61" t="str">
        <x:v>1382490022</x:v>
      </x:c>
      <x:c r="K112" s="46" t="str">
        <x:v>快手盒子</x:v>
      </x:c>
      <x:c r="L112" s="52" t="n">
        <x:v>32.596237</x:v>
      </x:c>
      <x:c r="M112" s="52" t="n">
        <x:f>L112-H112</x:f>
        <x:v>32.596237</x:v>
      </x:c>
      <x:c r="N112" s="55" t="n">
        <x:f>M112/MAX(I112,1)</x:f>
        <x:v>9.907670820668693</x:v>
      </x:c>
      <x:c r="O112" s="52" t="n">
        <x:v>13.663503</x:v>
      </x:c>
      <x:c r="P112" s="52" t="n">
        <x:v>61.057156</x:v>
      </x:c>
      <x:c r="Q112" s="52" t="n">
        <x:f>P112-O112</x:f>
        <x:v>47.393653</x:v>
      </x:c>
      <x:c r="R112" s="58" t="n">
        <x:v>76</x:v>
      </x:c>
      <x:c r="S112" s="58" t="n">
        <x:v>7</x:v>
      </x:c>
      <x:c r="T112" s="64" t="str">
        <x:v>profit_profitAmount</x:v>
      </x:c>
    </x:row>
    <x:row r="113">
      <x:c r="A113" s="61" t="str">
        <x:v>1208c652fb36fe5842e169f3ebf8825d</x:v>
      </x:c>
      <x:c r="B113" s="64" t="str">
        <x:v>B类：当前真实与预测均盈利，Top1增益超过当前预测误差</x:v>
      </x:c>
      <x:c r="C113" s="64" t="str">
        <x:v>很高（≥2.0倍）</x:v>
      </x:c>
      <x:c r="D113" s="49" t="n">
        <x:v>46261</x:v>
      </x:c>
      <x:c r="E113" s="61" t="str">
        <x:v>10000316</x:v>
      </x:c>
      <x:c r="F113" s="46" t="str">
        <x:v>金山云闲时20</x:v>
      </x:c>
      <x:c r="G113" s="52" t="n">
        <x:v>4.28</x:v>
      </x:c>
      <x:c r="H113" s="52" t="n">
        <x:v>0</x:v>
      </x:c>
      <x:c r="I113" s="52" t="n">
        <x:f>ABS(G113-H113)</x:f>
        <x:v>4.28</x:v>
      </x:c>
      <x:c r="J113" s="61" t="str">
        <x:v>10000183</x:v>
      </x:c>
      <x:c r="K113" s="46" t="str">
        <x:v>B站专线-盒子</x:v>
      </x:c>
      <x:c r="L113" s="52" t="n">
        <x:v>41.27662</x:v>
      </x:c>
      <x:c r="M113" s="52" t="n">
        <x:f>L113-H113</x:f>
        <x:v>41.27662</x:v>
      </x:c>
      <x:c r="N113" s="55" t="n">
        <x:f>M113/MAX(I113,1)</x:f>
        <x:v>9.644070093457943</x:v>
      </x:c>
      <x:c r="O113" s="52" t="n">
        <x:v>-14.616779</x:v>
      </x:c>
      <x:c r="P113" s="52" t="n">
        <x:v>10.068381</x:v>
      </x:c>
      <x:c r="Q113" s="52" t="n">
        <x:f>P113-O113</x:f>
        <x:v>24.68516</x:v>
      </x:c>
      <x:c r="R113" s="58" t="n">
        <x:v>96</x:v>
      </x:c>
      <x:c r="S113" s="58" t="n">
        <x:v>7</x:v>
      </x:c>
      <x:c r="T113" s="64" t="str">
        <x:v>profit_profitAmount</x:v>
      </x:c>
    </x:row>
    <x:row r="114">
      <x:c r="A114" s="61" t="str">
        <x:v>f868db77452f4aa00b25b1900c02ac90</x:v>
      </x:c>
      <x:c r="B114" s="64" t="str">
        <x:v>B类：当前真实与预测均盈利，Top1增益超过当前预测误差</x:v>
      </x:c>
      <x:c r="C114" s="64" t="str">
        <x:v>很高（≥2.0倍）</x:v>
      </x:c>
      <x:c r="D114" s="49" t="n">
        <x:v>46261</x:v>
      </x:c>
      <x:c r="E114" s="61" t="str">
        <x:v>10000244</x:v>
      </x:c>
      <x:c r="F114" s="46" t="str">
        <x:v>B站专线-盒子V2</x:v>
      </x:c>
      <x:c r="G114" s="52" t="n">
        <x:v>93.1</x:v>
      </x:c>
      <x:c r="H114" s="52" t="n">
        <x:v>102.92517</x:v>
      </x:c>
      <x:c r="I114" s="52" t="n">
        <x:f>ABS(G114-H114)</x:f>
        <x:v>9.82517</x:v>
      </x:c>
      <x:c r="J114" s="61" t="str">
        <x:v>10000183</x:v>
      </x:c>
      <x:c r="K114" s="46" t="str">
        <x:v>B站专线-盒子</x:v>
      </x:c>
      <x:c r="L114" s="52" t="n">
        <x:v>190.64072</x:v>
      </x:c>
      <x:c r="M114" s="52" t="n">
        <x:f>L114-H114</x:f>
        <x:v>87.71555</x:v>
      </x:c>
      <x:c r="N114" s="55" t="n">
        <x:f>M114/MAX(I114,1)</x:f>
        <x:v>8.927636875494265</x:v>
      </x:c>
      <x:c r="O114" s="52" t="n">
        <x:v>132.26141</x:v>
      </x:c>
      <x:c r="P114" s="52" t="n">
        <x:v>224.4676</x:v>
      </x:c>
      <x:c r="Q114" s="52" t="n">
        <x:f>P114-O114</x:f>
        <x:v>92.20618999999999</x:v>
      </x:c>
      <x:c r="R114" s="58" t="n">
        <x:v>96</x:v>
      </x:c>
      <x:c r="S114" s="58" t="n">
        <x:v>7</x:v>
      </x:c>
      <x:c r="T114" s="64" t="str">
        <x:v>profit_profitAmount</x:v>
      </x:c>
    </x:row>
    <x:row r="115">
      <x:c r="A115" s="61" t="str">
        <x:v>75320dfa4b5ea738ce2fa7813de9de13</x:v>
      </x:c>
      <x:c r="B115" s="64" t="str">
        <x:v>B类：当前真实与预测均盈利，Top1增益超过当前预测误差</x:v>
      </x:c>
      <x:c r="C115" s="64" t="str">
        <x:v>很高（≥2.0倍）</x:v>
      </x:c>
      <x:c r="D115" s="49" t="n">
        <x:v>46261</x:v>
      </x:c>
      <x:c r="E115" s="61" t="str">
        <x:v>10000291</x:v>
      </x:c>
      <x:c r="F115" s="46"/>
      <x:c r="G115" s="52" t="n">
        <x:v>9.73</x:v>
      </x:c>
      <x:c r="H115" s="52" t="n">
        <x:v>0</x:v>
      </x:c>
      <x:c r="I115" s="52" t="n">
        <x:f>ABS(G115-H115)</x:f>
        <x:v>9.73</x:v>
      </x:c>
      <x:c r="J115" s="61" t="str">
        <x:v>10000183</x:v>
      </x:c>
      <x:c r="K115" s="46" t="str">
        <x:v>B站专线-盒子</x:v>
      </x:c>
      <x:c r="L115" s="52" t="n">
        <x:v>85.49441</x:v>
      </x:c>
      <x:c r="M115" s="52" t="n">
        <x:f>L115-H115</x:f>
        <x:v>85.49441</x:v>
      </x:c>
      <x:c r="N115" s="55" t="n">
        <x:f>M115/MAX(I115,1)</x:f>
        <x:v>8.78668139773895</x:v>
      </x:c>
      <x:c r="O115" s="52" t="n">
        <x:v>6.6589518</x:v>
      </x:c>
      <x:c r="P115" s="52" t="n">
        <x:v>70.09929</x:v>
      </x:c>
      <x:c r="Q115" s="52" t="n">
        <x:f>P115-O115</x:f>
        <x:v>63.4403382</x:v>
      </x:c>
      <x:c r="R115" s="58" t="n">
        <x:v>96</x:v>
      </x:c>
      <x:c r="S115" s="58" t="n">
        <x:v>7</x:v>
      </x:c>
      <x:c r="T115" s="64" t="str">
        <x:v>profit_profitAmount</x:v>
      </x:c>
    </x:row>
    <x:row r="116">
      <x:c r="A116" s="61" t="str">
        <x:v>ab9c29e05273928478a646278435c9eb</x:v>
      </x:c>
      <x:c r="B116" s="64" t="str">
        <x:v>B类：当前真实与预测均盈利，Top1增益超过当前预测误差</x:v>
      </x:c>
      <x:c r="C116" s="64" t="str">
        <x:v>很高（≥2.0倍）</x:v>
      </x:c>
      <x:c r="D116" s="49" t="n">
        <x:v>46261</x:v>
      </x:c>
      <x:c r="E116" s="61" t="str">
        <x:v>10000079</x:v>
      </x:c>
      <x:c r="F116" s="46" t="str">
        <x:v>字节架构汇聚V2</x:v>
      </x:c>
      <x:c r="G116" s="52" t="n">
        <x:v>20.81</x:v>
      </x:c>
      <x:c r="H116" s="52" t="n">
        <x:v>42.72216</x:v>
      </x:c>
      <x:c r="I116" s="52" t="n">
        <x:f>ABS(G116-H116)</x:f>
        <x:v>21.912160000000004</x:v>
      </x:c>
      <x:c r="J116" s="61" t="str">
        <x:v>10000183</x:v>
      </x:c>
      <x:c r="K116" s="46" t="str">
        <x:v>B站专线-盒子</x:v>
      </x:c>
      <x:c r="L116" s="52" t="n">
        <x:v>222.26257</x:v>
      </x:c>
      <x:c r="M116" s="52" t="n">
        <x:f>L116-H116</x:f>
        <x:v>179.54041</x:v>
      </x:c>
      <x:c r="N116" s="55" t="n">
        <x:f>M116/MAX(I116,1)</x:f>
        <x:v>8.193642707975844</x:v>
      </x:c>
      <x:c r="O116" s="52" t="n">
        <x:v>31.059473</x:v>
      </x:c>
      <x:c r="P116" s="52" t="n">
        <x:v>59.073338</x:v>
      </x:c>
      <x:c r="Q116" s="52" t="n">
        <x:f>P116-O116</x:f>
        <x:v>28.013865</x:v>
      </x:c>
      <x:c r="R116" s="58" t="n">
        <x:v>96</x:v>
      </x:c>
      <x:c r="S116" s="58" t="n">
        <x:v>7</x:v>
      </x:c>
      <x:c r="T116" s="64" t="str">
        <x:v>profit_profitAmount</x:v>
      </x:c>
    </x:row>
    <x:row r="117">
      <x:c r="A117" s="61" t="str">
        <x:v>b43bc79233de9da79dd470136b9c29d7</x:v>
      </x:c>
      <x:c r="B117" s="64" t="str">
        <x:v>B类：当前真实与预测均盈利，Top1增益超过当前预测误差</x:v>
      </x:c>
      <x:c r="C117" s="64" t="str">
        <x:v>很高（≥2.0倍）</x:v>
      </x:c>
      <x:c r="D117" s="49" t="n">
        <x:v>46261</x:v>
      </x:c>
      <x:c r="E117" s="61" t="str">
        <x:v>10000304</x:v>
      </x:c>
      <x:c r="F117" s="46" t="str">
        <x:v>快手严选</x:v>
      </x:c>
      <x:c r="G117" s="52" t="n">
        <x:v>49.69</x:v>
      </x:c>
      <x:c r="H117" s="52" t="n">
        <x:v>31.662079</x:v>
      </x:c>
      <x:c r="I117" s="52" t="n">
        <x:f>ABS(G117-H117)</x:f>
        <x:v>18.027921</x:v>
      </x:c>
      <x:c r="J117" s="61" t="str">
        <x:v>10000183</x:v>
      </x:c>
      <x:c r="K117" s="46" t="str">
        <x:v>B站专线-盒子</x:v>
      </x:c>
      <x:c r="L117" s="52" t="n">
        <x:v>164.62447</x:v>
      </x:c>
      <x:c r="M117" s="52" t="n">
        <x:f>L117-H117</x:f>
        <x:v>132.962391</x:v>
      </x:c>
      <x:c r="N117" s="55" t="n">
        <x:f>M117/MAX(I117,1)</x:f>
        <x:v>7.375359088826715</x:v>
      </x:c>
      <x:c r="O117" s="52" t="n">
        <x:v>87.8253</x:v>
      </x:c>
      <x:c r="P117" s="52" t="n">
        <x:v>223.22679</x:v>
      </x:c>
      <x:c r="Q117" s="52" t="n">
        <x:f>P117-O117</x:f>
        <x:v>135.40149</x:v>
      </x:c>
      <x:c r="R117" s="58" t="n">
        <x:v>96</x:v>
      </x:c>
      <x:c r="S117" s="58" t="n">
        <x:v>7</x:v>
      </x:c>
      <x:c r="T117" s="64" t="str">
        <x:v>profit_profitAmount</x:v>
      </x:c>
    </x:row>
    <x:row r="118">
      <x:c r="A118" s="61" t="str">
        <x:v>4125ba0af2804263619bcb4f0a2bd62e</x:v>
      </x:c>
      <x:c r="B118" s="64" t="str">
        <x:v>B类：当前真实与预测均盈利，Top1增益超过当前预测误差</x:v>
      </x:c>
      <x:c r="C118" s="64" t="str">
        <x:v>很高（≥2.0倍）</x:v>
      </x:c>
      <x:c r="D118" s="49" t="n">
        <x:v>46261</x:v>
      </x:c>
      <x:c r="E118" s="61" t="str">
        <x:v>10000064</x:v>
      </x:c>
      <x:c r="F118" s="46" t="str">
        <x:v>百度小度</x:v>
      </x:c>
      <x:c r="G118" s="52" t="n">
        <x:v>14.02</x:v>
      </x:c>
      <x:c r="H118" s="52" t="n">
        <x:v>3.417572</x:v>
      </x:c>
      <x:c r="I118" s="52" t="n">
        <x:f>ABS(G118-H118)</x:f>
        <x:v>10.602428</x:v>
      </x:c>
      <x:c r="J118" s="61" t="str">
        <x:v>10000183</x:v>
      </x:c>
      <x:c r="K118" s="46" t="str">
        <x:v>B站专线-盒子</x:v>
      </x:c>
      <x:c r="L118" s="52" t="n">
        <x:v>78.54899</x:v>
      </x:c>
      <x:c r="M118" s="52" t="n">
        <x:f>L118-H118</x:f>
        <x:v>75.131418</x:v>
      </x:c>
      <x:c r="N118" s="55" t="n">
        <x:f>M118/MAX(I118,1)</x:f>
        <x:v>7.086246471091338</x:v>
      </x:c>
      <x:c r="O118" s="52" t="n">
        <x:v>1.383987</x:v>
      </x:c>
      <x:c r="P118" s="52" t="n">
        <x:v>162.07385</x:v>
      </x:c>
      <x:c r="Q118" s="52" t="n">
        <x:f>P118-O118</x:f>
        <x:v>160.689863</x:v>
      </x:c>
      <x:c r="R118" s="58" t="n">
        <x:v>96</x:v>
      </x:c>
      <x:c r="S118" s="58" t="n">
        <x:v>7</x:v>
      </x:c>
      <x:c r="T118" s="64" t="str">
        <x:v>profit_profitAmount</x:v>
      </x:c>
    </x:row>
    <x:row r="119">
      <x:c r="A119" s="61" t="str">
        <x:v>bc71488cbe67fc5158fe2e7c3792a223</x:v>
      </x:c>
      <x:c r="B119" s="64" t="str">
        <x:v>B类：当前真实与预测均盈利，Top1增益超过当前预测误差</x:v>
      </x:c>
      <x:c r="C119" s="64" t="str">
        <x:v>很高（≥2.0倍）</x:v>
      </x:c>
      <x:c r="D119" s="49" t="n">
        <x:v>46261</x:v>
      </x:c>
      <x:c r="E119" s="61" t="str">
        <x:v>10000244</x:v>
      </x:c>
      <x:c r="F119" s="46" t="str">
        <x:v>B站专线-盒子V2</x:v>
      </x:c>
      <x:c r="G119" s="52" t="n">
        <x:v>24.08</x:v>
      </x:c>
      <x:c r="H119" s="52" t="n">
        <x:v>13.819061</x:v>
      </x:c>
      <x:c r="I119" s="52" t="n">
        <x:f>ABS(G119-H119)</x:f>
        <x:v>10.260938999999999</x:v>
      </x:c>
      <x:c r="J119" s="61" t="str">
        <x:v>10000183</x:v>
      </x:c>
      <x:c r="K119" s="46" t="str">
        <x:v>B站专线-盒子</x:v>
      </x:c>
      <x:c r="L119" s="52" t="n">
        <x:v>84.090996</x:v>
      </x:c>
      <x:c r="M119" s="52" t="n">
        <x:f>L119-H119</x:f>
        <x:v>70.271935</x:v>
      </x:c>
      <x:c r="N119" s="55" t="n">
        <x:f>M119/MAX(I119,1)</x:f>
        <x:v>6.848489694754058</x:v>
      </x:c>
      <x:c r="O119" s="52" t="n">
        <x:v>-3.4341545</x:v>
      </x:c>
      <x:c r="P119" s="52" t="n">
        <x:v>168.80038</x:v>
      </x:c>
      <x:c r="Q119" s="52" t="n">
        <x:f>P119-O119</x:f>
        <x:v>172.2345345</x:v>
      </x:c>
      <x:c r="R119" s="58" t="n">
        <x:v>96</x:v>
      </x:c>
      <x:c r="S119" s="58" t="n">
        <x:v>7</x:v>
      </x:c>
      <x:c r="T119" s="64" t="str">
        <x:v>profit_profitAmount</x:v>
      </x:c>
    </x:row>
    <x:row r="120">
      <x:c r="A120" s="61" t="str">
        <x:v>a72dfcc16b68ab0c6abe519666a2dde7</x:v>
      </x:c>
      <x:c r="B120" s="64" t="str">
        <x:v>B类：当前真实与预测均盈利，Top1增益超过当前预测误差</x:v>
      </x:c>
      <x:c r="C120" s="64" t="str">
        <x:v>很高（≥2.0倍）</x:v>
      </x:c>
      <x:c r="D120" s="49" t="n">
        <x:v>46261</x:v>
      </x:c>
      <x:c r="E120" s="61" t="str">
        <x:v>10000123</x:v>
      </x:c>
      <x:c r="F120" s="46" t="str">
        <x:v>金山云ern_HQ</x:v>
      </x:c>
      <x:c r="G120" s="52" t="n">
        <x:v>13.16</x:v>
      </x:c>
      <x:c r="H120" s="52" t="n">
        <x:v>11.56815</x:v>
      </x:c>
      <x:c r="I120" s="52" t="n">
        <x:f>ABS(G120-H120)</x:f>
        <x:v>1.5918500000000009</x:v>
      </x:c>
      <x:c r="J120" s="61" t="str">
        <x:v>10000122</x:v>
      </x:c>
      <x:c r="K120" s="46" t="str">
        <x:v>金山云汇聚ern</x:v>
      </x:c>
      <x:c r="L120" s="52" t="n">
        <x:v>22.419273</x:v>
      </x:c>
      <x:c r="M120" s="52" t="n">
        <x:f>L120-H120</x:f>
        <x:v>10.851123000000001</x:v>
      </x:c>
      <x:c r="N120" s="55" t="n">
        <x:f>M120/MAX(I120,1)</x:f>
        <x:v>6.816674309765364</x:v>
      </x:c>
      <x:c r="O120" s="52" t="n">
        <x:v>20.195154</x:v>
      </x:c>
      <x:c r="P120" s="52" t="n">
        <x:v>25.824593</x:v>
      </x:c>
      <x:c r="Q120" s="52" t="n">
        <x:f>P120-O120</x:f>
        <x:v>5.629439000000001</x:v>
      </x:c>
      <x:c r="R120" s="58" t="n">
        <x:v>114</x:v>
      </x:c>
      <x:c r="S120" s="58" t="n">
        <x:v>7</x:v>
      </x:c>
      <x:c r="T120" s="64" t="str">
        <x:v>profit_profitAmount</x:v>
      </x:c>
    </x:row>
    <x:row r="121">
      <x:c r="A121" s="61" t="str">
        <x:v>63ba6396693451f6cb16fdcbaa547b90</x:v>
      </x:c>
      <x:c r="B121" s="64" t="str">
        <x:v>B类：当前真实与预测均盈利，Top1增益超过当前预测误差</x:v>
      </x:c>
      <x:c r="C121" s="64" t="str">
        <x:v>很高（≥2.0倍）</x:v>
      </x:c>
      <x:c r="D121" s="49" t="n">
        <x:v>46261</x:v>
      </x:c>
      <x:c r="E121" s="61" t="str">
        <x:v>10000064</x:v>
      </x:c>
      <x:c r="F121" s="46" t="str">
        <x:v>百度小度</x:v>
      </x:c>
      <x:c r="G121" s="52" t="n">
        <x:v>26.56</x:v>
      </x:c>
      <x:c r="H121" s="52" t="n">
        <x:v>6.667618</x:v>
      </x:c>
      <x:c r="I121" s="52" t="n">
        <x:f>ABS(G121-H121)</x:f>
        <x:v>19.892381999999998</x:v>
      </x:c>
      <x:c r="J121" s="61" t="str">
        <x:v>10000183</x:v>
      </x:c>
      <x:c r="K121" s="46" t="str">
        <x:v>B站专线-盒子</x:v>
      </x:c>
      <x:c r="L121" s="52" t="n">
        <x:v>140.14822</x:v>
      </x:c>
      <x:c r="M121" s="52" t="n">
        <x:f>L121-H121</x:f>
        <x:v>133.480602</x:v>
      </x:c>
      <x:c r="N121" s="55" t="n">
        <x:f>M121/MAX(I121,1)</x:f>
        <x:v>6.710136674431449</x:v>
      </x:c>
      <x:c r="O121" s="52" t="n">
        <x:v>-0.42490196</x:v>
      </x:c>
      <x:c r="P121" s="52" t="n">
        <x:v>164.25484</x:v>
      </x:c>
      <x:c r="Q121" s="52" t="n">
        <x:f>P121-O121</x:f>
        <x:v>164.67974196</x:v>
      </x:c>
      <x:c r="R121" s="58" t="n">
        <x:v>96</x:v>
      </x:c>
      <x:c r="S121" s="58" t="n">
        <x:v>7</x:v>
      </x:c>
      <x:c r="T121" s="64" t="str">
        <x:v>profit_profitAmount</x:v>
      </x:c>
    </x:row>
    <x:row r="122">
      <x:c r="A122" s="61" t="str">
        <x:v>1c2fa010773c1add56a43e71fcfe7517</x:v>
      </x:c>
      <x:c r="B122" s="64" t="str">
        <x:v>B类：当前真实与预测均盈利，Top1增益超过当前预测误差</x:v>
      </x:c>
      <x:c r="C122" s="64" t="str">
        <x:v>很高（≥2.0倍）</x:v>
      </x:c>
      <x:c r="D122" s="49" t="n">
        <x:v>46261</x:v>
      </x:c>
      <x:c r="E122" s="61" t="str">
        <x:v>1382490022</x:v>
      </x:c>
      <x:c r="F122" s="46" t="str">
        <x:v>快手盒子</x:v>
      </x:c>
      <x:c r="G122" s="52" t="n">
        <x:v>132.64</x:v>
      </x:c>
      <x:c r="H122" s="52" t="n">
        <x:v>111.30673</x:v>
      </x:c>
      <x:c r="I122" s="52" t="n">
        <x:f>ABS(G122-H122)</x:f>
        <x:v>21.333269999999985</x:v>
      </x:c>
      <x:c r="J122" s="61" t="str">
        <x:v>10000312</x:v>
      </x:c>
      <x:c r="K122" s="46" t="str">
        <x:v>金山云闲时</x:v>
      </x:c>
      <x:c r="L122" s="52" t="n">
        <x:v>247.0036</x:v>
      </x:c>
      <x:c r="M122" s="52" t="n">
        <x:f>L122-H122</x:f>
        <x:v>135.69687</x:v>
      </x:c>
      <x:c r="N122" s="55" t="n">
        <x:f>M122/MAX(I122,1)</x:f>
        <x:v>6.360809664903697</x:v>
      </x:c>
      <x:c r="O122" s="52" t="n">
        <x:v>108.748474</x:v>
      </x:c>
      <x:c r="P122" s="52" t="n">
        <x:v>244.29646</x:v>
      </x:c>
      <x:c r="Q122" s="52" t="n">
        <x:f>P122-O122</x:f>
        <x:v>135.54798599999998</x:v>
      </x:c>
      <x:c r="R122" s="58" t="n">
        <x:v>22</x:v>
      </x:c>
      <x:c r="S122" s="58" t="n">
        <x:v>4</x:v>
      </x:c>
      <x:c r="T122" s="64" t="str">
        <x:v>profit_profitAmount</x:v>
      </x:c>
    </x:row>
    <x:row r="123">
      <x:c r="A123" s="61" t="str">
        <x:v>0c96ce9c7e9810fd33f2702337db0899</x:v>
      </x:c>
      <x:c r="B123" s="64" t="str">
        <x:v>B类：当前真实与预测均盈利，Top1增益超过当前预测误差</x:v>
      </x:c>
      <x:c r="C123" s="64" t="str">
        <x:v>很高（≥2.0倍）</x:v>
      </x:c>
      <x:c r="D123" s="49" t="n">
        <x:v>46258</x:v>
      </x:c>
      <x:c r="E123" s="61" t="str">
        <x:v>10000034</x:v>
      </x:c>
      <x:c r="F123" s="46" t="str">
        <x:v>优酷专线</x:v>
      </x:c>
      <x:c r="G123" s="52" t="n">
        <x:v>78.79</x:v>
      </x:c>
      <x:c r="H123" s="52" t="n">
        <x:v>66.26517</x:v>
      </x:c>
      <x:c r="I123" s="52" t="n">
        <x:f>ABS(G123-H123)</x:f>
        <x:v>12.524830000000009</x:v>
      </x:c>
      <x:c r="J123" s="61" t="str">
        <x:v>10000183</x:v>
      </x:c>
      <x:c r="K123" s="46" t="str">
        <x:v>B站专线-盒子</x:v>
      </x:c>
      <x:c r="L123" s="52" t="n">
        <x:v>140.79985</x:v>
      </x:c>
      <x:c r="M123" s="52" t="n">
        <x:f>L123-H123</x:f>
        <x:v>74.53468</x:v>
      </x:c>
      <x:c r="N123" s="55" t="n">
        <x:f>M123/MAX(I123,1)</x:f>
        <x:v>5.950953426114362</x:v>
      </x:c>
      <x:c r="O123" s="52" t="n">
        <x:v>71.712395</x:v>
      </x:c>
      <x:c r="P123" s="52" t="n">
        <x:v>81.87469</x:v>
      </x:c>
      <x:c r="Q123" s="52" t="n">
        <x:f>P123-O123</x:f>
        <x:v>10.162295</x:v>
      </x:c>
      <x:c r="R123" s="58" t="n">
        <x:v>96</x:v>
      </x:c>
      <x:c r="S123" s="58" t="n">
        <x:v>4</x:v>
      </x:c>
      <x:c r="T123" s="64" t="str">
        <x:v>profit_profitAmount</x:v>
      </x:c>
    </x:row>
    <x:row r="124">
      <x:c r="A124" s="61" t="str">
        <x:v>3824d5e54b25cde6fe37e77291680004</x:v>
      </x:c>
      <x:c r="B124" s="64" t="str">
        <x:v>B类：当前真实与预测均盈利，Top1增益超过当前预测误差</x:v>
      </x:c>
      <x:c r="C124" s="64" t="str">
        <x:v>很高（≥2.0倍）</x:v>
      </x:c>
      <x:c r="D124" s="49" t="n">
        <x:v>46261</x:v>
      </x:c>
      <x:c r="E124" s="61" t="str">
        <x:v>10000019</x:v>
      </x:c>
      <x:c r="F124" s="46" t="str">
        <x:v>B站盒子</x:v>
      </x:c>
      <x:c r="G124" s="52" t="n">
        <x:v>32.52</x:v>
      </x:c>
      <x:c r="H124" s="52" t="n">
        <x:v>12.191523</x:v>
      </x:c>
      <x:c r="I124" s="52" t="n">
        <x:f>ABS(G124-H124)</x:f>
        <x:v>20.328477000000003</x:v>
      </x:c>
      <x:c r="J124" s="61" t="str">
        <x:v>10000183</x:v>
      </x:c>
      <x:c r="K124" s="46" t="str">
        <x:v>B站专线-盒子</x:v>
      </x:c>
      <x:c r="L124" s="52" t="n">
        <x:v>127.41518</x:v>
      </x:c>
      <x:c r="M124" s="52" t="n">
        <x:f>L124-H124</x:f>
        <x:v>115.223657</x:v>
      </x:c>
      <x:c r="N124" s="55" t="n">
        <x:f>M124/MAX(I124,1)</x:f>
        <x:v>5.668090974055754</x:v>
      </x:c>
      <x:c r="O124" s="52" t="n">
        <x:v>10.547031</x:v>
      </x:c>
      <x:c r="P124" s="52" t="n">
        <x:v>201.19312</x:v>
      </x:c>
      <x:c r="Q124" s="52" t="n">
        <x:f>P124-O124</x:f>
        <x:v>190.646089</x:v>
      </x:c>
      <x:c r="R124" s="58" t="n">
        <x:v>96</x:v>
      </x:c>
      <x:c r="S124" s="58" t="n">
        <x:v>7</x:v>
      </x:c>
      <x:c r="T124" s="64" t="str">
        <x:v>profit_profitAmount</x:v>
      </x:c>
    </x:row>
    <x:row r="125">
      <x:c r="A125" s="61" t="str">
        <x:v>3bddb9ea4ef8f19fcf39f77d3b87abbc</x:v>
      </x:c>
      <x:c r="B125" s="64" t="str">
        <x:v>B类：当前真实与预测均盈利，Top1增益超过当前预测误差</x:v>
      </x:c>
      <x:c r="C125" s="64" t="str">
        <x:v>很高（≥2.0倍）</x:v>
      </x:c>
      <x:c r="D125" s="49" t="n">
        <x:v>46261</x:v>
      </x:c>
      <x:c r="E125" s="61" t="str">
        <x:v>10000069</x:v>
      </x:c>
      <x:c r="F125" s="46" t="str">
        <x:v>腾讯汇聚P2P</x:v>
      </x:c>
      <x:c r="G125" s="52" t="n">
        <x:v>117.6</x:v>
      </x:c>
      <x:c r="H125" s="52" t="n">
        <x:v>89.338776</x:v>
      </x:c>
      <x:c r="I125" s="52" t="n">
        <x:f>ABS(G125-H125)</x:f>
        <x:v>28.261224</x:v>
      </x:c>
      <x:c r="J125" s="61" t="str">
        <x:v>10000183</x:v>
      </x:c>
      <x:c r="K125" s="46" t="str">
        <x:v>B站专线-盒子</x:v>
      </x:c>
      <x:c r="L125" s="52" t="n">
        <x:v>246.25021</x:v>
      </x:c>
      <x:c r="M125" s="52" t="n">
        <x:f>L125-H125</x:f>
        <x:v>156.911434</x:v>
      </x:c>
      <x:c r="N125" s="55" t="n">
        <x:f>M125/MAX(I125,1)</x:f>
        <x:v>5.552181108645542</x:v>
      </x:c>
      <x:c r="O125" s="52" t="n">
        <x:v>70.48173</x:v>
      </x:c>
      <x:c r="P125" s="52" t="n">
        <x:v>78.1373</x:v>
      </x:c>
      <x:c r="Q125" s="52" t="n">
        <x:f>P125-O125</x:f>
        <x:v>7.655569999999997</x:v>
      </x:c>
      <x:c r="R125" s="58" t="n">
        <x:v>96</x:v>
      </x:c>
      <x:c r="S125" s="58" t="n">
        <x:v>2</x:v>
      </x:c>
      <x:c r="T125" s="64" t="str">
        <x:v>profit_profitAmount</x:v>
      </x:c>
    </x:row>
    <x:row r="126">
      <x:c r="A126" s="61" t="str">
        <x:v>ce49f9605592cd6f3178c6def3dfd80a</x:v>
      </x:c>
      <x:c r="B126" s="64" t="str">
        <x:v>B类：当前真实与预测均盈利，Top1增益超过当前预测误差</x:v>
      </x:c>
      <x:c r="C126" s="64" t="str">
        <x:v>很高（≥2.0倍）</x:v>
      </x:c>
      <x:c r="D126" s="49" t="n">
        <x:v>46261</x:v>
      </x:c>
      <x:c r="E126" s="61" t="str">
        <x:v>10000064</x:v>
      </x:c>
      <x:c r="F126" s="46" t="str">
        <x:v>百度小度</x:v>
      </x:c>
      <x:c r="G126" s="52" t="n">
        <x:v>0.18</x:v>
      </x:c>
      <x:c r="H126" s="52" t="n">
        <x:v>4.5003114</x:v>
      </x:c>
      <x:c r="I126" s="52" t="n">
        <x:f>ABS(G126-H126)</x:f>
        <x:v>4.3203114000000005</x:v>
      </x:c>
      <x:c r="J126" s="61" t="str">
        <x:v>10000183</x:v>
      </x:c>
      <x:c r="K126" s="46" t="str">
        <x:v>B站专线-盒子</x:v>
      </x:c>
      <x:c r="L126" s="52" t="n">
        <x:v>27.33652</x:v>
      </x:c>
      <x:c r="M126" s="52" t="n">
        <x:f>L126-H126</x:f>
        <x:v>22.8362086</x:v>
      </x:c>
      <x:c r="N126" s="55" t="n">
        <x:f>M126/MAX(I126,1)</x:f>
        <x:v>5.285778381623139</x:v>
      </x:c>
      <x:c r="O126" s="52" t="n">
        <x:v>-7.7487726</x:v>
      </x:c>
      <x:c r="P126" s="52" t="n">
        <x:v>50.543743</x:v>
      </x:c>
      <x:c r="Q126" s="52" t="n">
        <x:f>P126-O126</x:f>
        <x:v>58.2925156</x:v>
      </x:c>
      <x:c r="R126" s="58" t="n">
        <x:v>96</x:v>
      </x:c>
      <x:c r="S126" s="58" t="n">
        <x:v>7</x:v>
      </x:c>
      <x:c r="T126" s="64" t="str">
        <x:v>profit_profitAmount</x:v>
      </x:c>
    </x:row>
    <x:row r="127">
      <x:c r="A127" s="61" t="str">
        <x:v>6ccaf45de60647440f2e651d239dbbee</x:v>
      </x:c>
      <x:c r="B127" s="64" t="str">
        <x:v>B类：当前真实与预测均盈利，Top1增益超过当前预测误差</x:v>
      </x:c>
      <x:c r="C127" s="64" t="str">
        <x:v>很高（≥2.0倍）</x:v>
      </x:c>
      <x:c r="D127" s="49" t="n">
        <x:v>46261</x:v>
      </x:c>
      <x:c r="E127" s="61" t="str">
        <x:v>10000064</x:v>
      </x:c>
      <x:c r="F127" s="46" t="str">
        <x:v>百度小度</x:v>
      </x:c>
      <x:c r="G127" s="52" t="n">
        <x:v>33.92</x:v>
      </x:c>
      <x:c r="H127" s="52" t="n">
        <x:v>8.458458</x:v>
      </x:c>
      <x:c r="I127" s="52" t="n">
        <x:f>ABS(G127-H127)</x:f>
        <x:v>25.461542</x:v>
      </x:c>
      <x:c r="J127" s="61" t="str">
        <x:v>10000183</x:v>
      </x:c>
      <x:c r="K127" s="46" t="str">
        <x:v>B站专线-盒子</x:v>
      </x:c>
      <x:c r="L127" s="52" t="n">
        <x:v>142.30032</x:v>
      </x:c>
      <x:c r="M127" s="52" t="n">
        <x:f>L127-H127</x:f>
        <x:v>133.841862</x:v>
      </x:c>
      <x:c r="N127" s="55" t="n">
        <x:f>M127/MAX(I127,1)</x:f>
        <x:v>5.256628290619632</x:v>
      </x:c>
      <x:c r="O127" s="52" t="n">
        <x:v>10.302506</x:v>
      </x:c>
      <x:c r="P127" s="52" t="n">
        <x:v>53.989025</x:v>
      </x:c>
      <x:c r="Q127" s="52" t="n">
        <x:f>P127-O127</x:f>
        <x:v>43.686519</x:v>
      </x:c>
      <x:c r="R127" s="58" t="n">
        <x:v>96</x:v>
      </x:c>
      <x:c r="S127" s="58" t="n">
        <x:v>7</x:v>
      </x:c>
      <x:c r="T127" s="64" t="str">
        <x:v>profit_profitAmount</x:v>
      </x:c>
    </x:row>
    <x:row r="128">
      <x:c r="A128" s="61" t="str">
        <x:v>896e9d5651d51127af8c1afa288d1f7e</x:v>
      </x:c>
      <x:c r="B128" s="64" t="str">
        <x:v>B类：当前真实与预测均盈利，Top1增益超过当前预测误差</x:v>
      </x:c>
      <x:c r="C128" s="64" t="str">
        <x:v>很高（≥2.0倍）</x:v>
      </x:c>
      <x:c r="D128" s="49" t="n">
        <x:v>46261</x:v>
      </x:c>
      <x:c r="E128" s="61" t="str">
        <x:v>10000079</x:v>
      </x:c>
      <x:c r="F128" s="46" t="str">
        <x:v>字节架构汇聚V2</x:v>
      </x:c>
      <x:c r="G128" s="52" t="n">
        <x:v>21.75</x:v>
      </x:c>
      <x:c r="H128" s="52" t="n">
        <x:v>22.029915</x:v>
      </x:c>
      <x:c r="I128" s="52" t="n">
        <x:f>ABS(G128-H128)</x:f>
        <x:v>0.279914999999999</x:v>
      </x:c>
      <x:c r="J128" s="61" t="str">
        <x:v>1382490022</x:v>
      </x:c>
      <x:c r="K128" s="46" t="str">
        <x:v>快手盒子</x:v>
      </x:c>
      <x:c r="L128" s="52" t="n">
        <x:v>26.868793</x:v>
      </x:c>
      <x:c r="M128" s="52" t="n">
        <x:f>L128-H128</x:f>
        <x:v>4.838878000000001</x:v>
      </x:c>
      <x:c r="N128" s="55" t="n">
        <x:f>M128/MAX(I128,1)</x:f>
        <x:v>4.838878000000001</x:v>
      </x:c>
      <x:c r="O128" s="52" t="n">
        <x:v>26.948595</x:v>
      </x:c>
      <x:c r="P128" s="52" t="n">
        <x:v>62.526104</x:v>
      </x:c>
      <x:c r="Q128" s="52" t="n">
        <x:f>P128-O128</x:f>
        <x:v>35.57750899999999</x:v>
      </x:c>
      <x:c r="R128" s="58" t="n">
        <x:v>76</x:v>
      </x:c>
      <x:c r="S128" s="58" t="n">
        <x:v>7</x:v>
      </x:c>
      <x:c r="T128" s="64" t="str">
        <x:v>profit_profitAmount</x:v>
      </x:c>
    </x:row>
    <x:row r="129">
      <x:c r="A129" s="61" t="str">
        <x:v>e2de7d8c9910885c375651cf389d8296</x:v>
      </x:c>
      <x:c r="B129" s="64" t="str">
        <x:v>B类：当前真实与预测均盈利，Top1增益超过当前预测误差</x:v>
      </x:c>
      <x:c r="C129" s="64" t="str">
        <x:v>很高（≥2.0倍）</x:v>
      </x:c>
      <x:c r="D129" s="49" t="n">
        <x:v>46261</x:v>
      </x:c>
      <x:c r="E129" s="61" t="str">
        <x:v>10000304</x:v>
      </x:c>
      <x:c r="F129" s="46" t="str">
        <x:v>快手严选</x:v>
      </x:c>
      <x:c r="G129" s="52" t="n">
        <x:v>37.04</x:v>
      </x:c>
      <x:c r="H129" s="52" t="n">
        <x:v>28.063354</x:v>
      </x:c>
      <x:c r="I129" s="52" t="n">
        <x:f>ABS(G129-H129)</x:f>
        <x:v>8.976645999999999</x:v>
      </x:c>
      <x:c r="J129" s="61" t="str">
        <x:v>10000183</x:v>
      </x:c>
      <x:c r="K129" s="46" t="str">
        <x:v>B站专线-盒子</x:v>
      </x:c>
      <x:c r="L129" s="52" t="n">
        <x:v>70.229805</x:v>
      </x:c>
      <x:c r="M129" s="52" t="n">
        <x:f>L129-H129</x:f>
        <x:v>42.166450999999995</x:v>
      </x:c>
      <x:c r="N129" s="55" t="n">
        <x:f>M129/MAX(I129,1)</x:f>
        <x:v>4.697350324386191</x:v>
      </x:c>
      <x:c r="O129" s="52" t="n">
        <x:v>28.982191</x:v>
      </x:c>
      <x:c r="P129" s="52" t="n">
        <x:v>55.14461</x:v>
      </x:c>
      <x:c r="Q129" s="52" t="n">
        <x:f>P129-O129</x:f>
        <x:v>26.162419</x:v>
      </x:c>
      <x:c r="R129" s="58" t="n">
        <x:v>96</x:v>
      </x:c>
      <x:c r="S129" s="58" t="n">
        <x:v>7</x:v>
      </x:c>
      <x:c r="T129" s="64" t="str">
        <x:v>profit_profitAmount</x:v>
      </x:c>
    </x:row>
    <x:row r="130">
      <x:c r="A130" s="61" t="str">
        <x:v>572618b8977827206fc02032119c2592</x:v>
      </x:c>
      <x:c r="B130" s="64" t="str">
        <x:v>B类：当前真实与预测均盈利，Top1增益超过当前预测误差</x:v>
      </x:c>
      <x:c r="C130" s="64" t="str">
        <x:v>很高（≥2.0倍）</x:v>
      </x:c>
      <x:c r="D130" s="49" t="n">
        <x:v>46261</x:v>
      </x:c>
      <x:c r="E130" s="61" t="str">
        <x:v>10000244</x:v>
      </x:c>
      <x:c r="F130" s="46" t="str">
        <x:v>B站专线-盒子V2</x:v>
      </x:c>
      <x:c r="G130" s="52" t="n">
        <x:v>18.19</x:v>
      </x:c>
      <x:c r="H130" s="52" t="n">
        <x:v>5.0004997</x:v>
      </x:c>
      <x:c r="I130" s="52" t="n">
        <x:f>ABS(G130-H130)</x:f>
        <x:v>13.189500300000002</x:v>
      </x:c>
      <x:c r="J130" s="61" t="str">
        <x:v>10000183</x:v>
      </x:c>
      <x:c r="K130" s="46" t="str">
        <x:v>B站专线-盒子</x:v>
      </x:c>
      <x:c r="L130" s="52" t="n">
        <x:v>66.44275</x:v>
      </x:c>
      <x:c r="M130" s="52" t="n">
        <x:f>L130-H130</x:f>
        <x:v>61.442250300000005</x:v>
      </x:c>
      <x:c r="N130" s="55" t="n">
        <x:f>M130/MAX(I130,1)</x:f>
        <x:v>4.658421388413024</x:v>
      </x:c>
      <x:c r="O130" s="52" t="n">
        <x:v>6.4011035</x:v>
      </x:c>
      <x:c r="P130" s="52" t="n">
        <x:v>42.925312</x:v>
      </x:c>
      <x:c r="Q130" s="52" t="n">
        <x:f>P130-O130</x:f>
        <x:v>36.5242085</x:v>
      </x:c>
      <x:c r="R130" s="58" t="n">
        <x:v>96</x:v>
      </x:c>
      <x:c r="S130" s="58" t="n">
        <x:v>7</x:v>
      </x:c>
      <x:c r="T130" s="64" t="str">
        <x:v>profit_profitAmount</x:v>
      </x:c>
    </x:row>
    <x:row r="131">
      <x:c r="A131" s="61" t="str">
        <x:v>7c0b48c010e301d1187496c95ff460b6</x:v>
      </x:c>
      <x:c r="B131" s="64" t="str">
        <x:v>B类：当前真实与预测均盈利，Top1增益超过当前预测误差</x:v>
      </x:c>
      <x:c r="C131" s="64" t="str">
        <x:v>很高（≥2.0倍）</x:v>
      </x:c>
      <x:c r="D131" s="49" t="n">
        <x:v>46261</x:v>
      </x:c>
      <x:c r="E131" s="61" t="str">
        <x:v>10000079</x:v>
      </x:c>
      <x:c r="F131" s="46" t="str">
        <x:v>字节架构汇聚V2</x:v>
      </x:c>
      <x:c r="G131" s="52" t="n">
        <x:v>118.38</x:v>
      </x:c>
      <x:c r="H131" s="52" t="n">
        <x:v>74.836914</x:v>
      </x:c>
      <x:c r="I131" s="52" t="n">
        <x:f>ABS(G131-H131)</x:f>
        <x:v>43.543086</x:v>
      </x:c>
      <x:c r="J131" s="61" t="str">
        <x:v>10000183</x:v>
      </x:c>
      <x:c r="K131" s="46" t="str">
        <x:v>B站专线-盒子</x:v>
      </x:c>
      <x:c r="L131" s="52" t="n">
        <x:v>273.50842</x:v>
      </x:c>
      <x:c r="M131" s="52" t="n">
        <x:f>L131-H131</x:f>
        <x:v>198.67150600000002</x:v>
      </x:c>
      <x:c r="N131" s="55" t="n">
        <x:f>M131/MAX(I131,1)</x:f>
        <x:v>4.562641839395582</x:v>
      </x:c>
      <x:c r="O131" s="52" t="n">
        <x:v>57.723866</x:v>
      </x:c>
      <x:c r="P131" s="52" t="n">
        <x:v>101.89284</x:v>
      </x:c>
      <x:c r="Q131" s="52" t="n">
        <x:f>P131-O131</x:f>
        <x:v>44.168974000000006</x:v>
      </x:c>
      <x:c r="R131" s="58" t="n">
        <x:v>96</x:v>
      </x:c>
      <x:c r="S131" s="58" t="n">
        <x:v>7</x:v>
      </x:c>
      <x:c r="T131" s="64" t="str">
        <x:v>profit_profitAmount</x:v>
      </x:c>
    </x:row>
    <x:row r="132">
      <x:c r="A132" s="61" t="str">
        <x:v>1995a4a53684f1b1d38d2f98caf632ae</x:v>
      </x:c>
      <x:c r="B132" s="64" t="str">
        <x:v>B类：当前真实与预测均盈利，Top1增益超过当前预测误差</x:v>
      </x:c>
      <x:c r="C132" s="64" t="str">
        <x:v>很高（≥2.0倍）</x:v>
      </x:c>
      <x:c r="D132" s="49" t="n">
        <x:v>46261</x:v>
      </x:c>
      <x:c r="E132" s="61" t="str">
        <x:v>10000292</x:v>
      </x:c>
      <x:c r="F132" s="46"/>
      <x:c r="G132" s="52" t="n">
        <x:v>19.59</x:v>
      </x:c>
      <x:c r="H132" s="52" t="n">
        <x:v>4.404011</x:v>
      </x:c>
      <x:c r="I132" s="52" t="n">
        <x:f>ABS(G132-H132)</x:f>
        <x:v>15.185989</x:v>
      </x:c>
      <x:c r="J132" s="61" t="str">
        <x:v>10000183</x:v>
      </x:c>
      <x:c r="K132" s="46" t="str">
        <x:v>B站专线-盒子</x:v>
      </x:c>
      <x:c r="L132" s="52" t="n">
        <x:v>72.11146</x:v>
      </x:c>
      <x:c r="M132" s="52" t="n">
        <x:f>L132-H132</x:f>
        <x:v>67.707449</x:v>
      </x:c>
      <x:c r="N132" s="55" t="n">
        <x:f>M132/MAX(I132,1)</x:f>
        <x:v>4.45854721743839</x:v>
      </x:c>
      <x:c r="O132" s="52" t="n">
        <x:v>14.746286</x:v>
      </x:c>
      <x:c r="P132" s="52" t="n">
        <x:v>169.47867</x:v>
      </x:c>
      <x:c r="Q132" s="52" t="n">
        <x:f>P132-O132</x:f>
        <x:v>154.732384</x:v>
      </x:c>
      <x:c r="R132" s="58" t="n">
        <x:v>96</x:v>
      </x:c>
      <x:c r="S132" s="58" t="n">
        <x:v>7</x:v>
      </x:c>
      <x:c r="T132" s="64" t="str">
        <x:v>profit_profitAmount</x:v>
      </x:c>
    </x:row>
    <x:row r="133">
      <x:c r="A133" s="61" t="str">
        <x:v>56f56e9314b13142d02057e72d975d77</x:v>
      </x:c>
      <x:c r="B133" s="64" t="str">
        <x:v>B类：当前真实与预测均盈利，Top1增益超过当前预测误差</x:v>
      </x:c>
      <x:c r="C133" s="64" t="str">
        <x:v>很高（≥2.0倍）</x:v>
      </x:c>
      <x:c r="D133" s="49" t="n">
        <x:v>46261</x:v>
      </x:c>
      <x:c r="E133" s="61" t="str">
        <x:v>10000292</x:v>
      </x:c>
      <x:c r="F133" s="46"/>
      <x:c r="G133" s="52" t="n">
        <x:v>61.82</x:v>
      </x:c>
      <x:c r="H133" s="52" t="n">
        <x:v>43.352234</x:v>
      </x:c>
      <x:c r="I133" s="52" t="n">
        <x:f>ABS(G133-H133)</x:f>
        <x:v>18.467765999999997</x:v>
      </x:c>
      <x:c r="J133" s="61" t="str">
        <x:v>10000183</x:v>
      </x:c>
      <x:c r="K133" s="46" t="str">
        <x:v>B站专线-盒子</x:v>
      </x:c>
      <x:c r="L133" s="52" t="n">
        <x:v>123.67354</x:v>
      </x:c>
      <x:c r="M133" s="52" t="n">
        <x:f>L133-H133</x:f>
        <x:v>80.32130599999999</x:v>
      </x:c>
      <x:c r="N133" s="55" t="n">
        <x:f>M133/MAX(I133,1)</x:f>
        <x:v>4.3492702907325125</x:v>
      </x:c>
      <x:c r="O133" s="52" t="n">
        <x:v>34.878403</x:v>
      </x:c>
      <x:c r="P133" s="52" t="n">
        <x:v>75.73845</x:v>
      </x:c>
      <x:c r="Q133" s="52" t="n">
        <x:f>P133-O133</x:f>
        <x:v>40.860047</x:v>
      </x:c>
      <x:c r="R133" s="58" t="n">
        <x:v>96</x:v>
      </x:c>
      <x:c r="S133" s="58" t="n">
        <x:v>7</x:v>
      </x:c>
      <x:c r="T133" s="64" t="str">
        <x:v>profit_profitAmount</x:v>
      </x:c>
    </x:row>
    <x:row r="134">
      <x:c r="A134" s="61" t="str">
        <x:v>0dfdc422cd8827f6c6b0478e5b31b5d4</x:v>
      </x:c>
      <x:c r="B134" s="64" t="str">
        <x:v>B类：当前真实与预测均盈利，Top1增益超过当前预测误差</x:v>
      </x:c>
      <x:c r="C134" s="64" t="str">
        <x:v>很高（≥2.0倍）</x:v>
      </x:c>
      <x:c r="D134" s="49" t="n">
        <x:v>46261</x:v>
      </x:c>
      <x:c r="E134" s="61" t="str">
        <x:v>1380317970</x:v>
      </x:c>
      <x:c r="F134" s="46" t="str">
        <x:v>快手点播</x:v>
      </x:c>
      <x:c r="G134" s="52" t="n">
        <x:v>66.28</x:v>
      </x:c>
      <x:c r="H134" s="52" t="n">
        <x:v>49.955315</x:v>
      </x:c>
      <x:c r="I134" s="52" t="n">
        <x:f>ABS(G134-H134)</x:f>
        <x:v>16.324685000000002</x:v>
      </x:c>
      <x:c r="J134" s="61" t="str">
        <x:v>10000183</x:v>
      </x:c>
      <x:c r="K134" s="46" t="str">
        <x:v>B站专线-盒子</x:v>
      </x:c>
      <x:c r="L134" s="52" t="n">
        <x:v>119.070114</x:v>
      </x:c>
      <x:c r="M134" s="52" t="n">
        <x:f>L134-H134</x:f>
        <x:v>69.114799</x:v>
      </x:c>
      <x:c r="N134" s="55" t="n">
        <x:f>M134/MAX(I134,1)</x:f>
        <x:v>4.2337600388613925</x:v>
      </x:c>
      <x:c r="O134" s="52" t="n">
        <x:v>34.544334</x:v>
      </x:c>
      <x:c r="P134" s="52" t="n">
        <x:v>194.25957</x:v>
      </x:c>
      <x:c r="Q134" s="52" t="n">
        <x:f>P134-O134</x:f>
        <x:v>159.715236</x:v>
      </x:c>
      <x:c r="R134" s="58" t="n">
        <x:v>96</x:v>
      </x:c>
      <x:c r="S134" s="58" t="n">
        <x:v>7</x:v>
      </x:c>
      <x:c r="T134" s="64" t="str">
        <x:v>profit_profitAmount</x:v>
      </x:c>
    </x:row>
    <x:row r="135">
      <x:c r="A135" s="61" t="str">
        <x:v>e72962fe8c185557b8e231c7d33f5903</x:v>
      </x:c>
      <x:c r="B135" s="64" t="str">
        <x:v>B类：当前真实与预测均盈利，Top1增益超过当前预测误差</x:v>
      </x:c>
      <x:c r="C135" s="64" t="str">
        <x:v>很高（≥2.0倍）</x:v>
      </x:c>
      <x:c r="D135" s="49" t="n">
        <x:v>46261</x:v>
      </x:c>
      <x:c r="E135" s="61" t="str">
        <x:v>10000304</x:v>
      </x:c>
      <x:c r="F135" s="46" t="str">
        <x:v>快手严选</x:v>
      </x:c>
      <x:c r="G135" s="52" t="n">
        <x:v>42.39</x:v>
      </x:c>
      <x:c r="H135" s="52" t="n">
        <x:v>26.859863</x:v>
      </x:c>
      <x:c r="I135" s="52" t="n">
        <x:f>ABS(G135-H135)</x:f>
        <x:v>15.530137</x:v>
      </x:c>
      <x:c r="J135" s="61" t="str">
        <x:v>10000183</x:v>
      </x:c>
      <x:c r="K135" s="46" t="str">
        <x:v>B站专线-盒子</x:v>
      </x:c>
      <x:c r="L135" s="52" t="n">
        <x:v>92.0559</x:v>
      </x:c>
      <x:c r="M135" s="52" t="n">
        <x:f>L135-H135</x:f>
        <x:v>65.19603699999999</x:v>
      </x:c>
      <x:c r="N135" s="55" t="n">
        <x:f>M135/MAX(I135,1)</x:f>
        <x:v>4.198033603953396</x:v>
      </x:c>
      <x:c r="O135" s="52" t="n">
        <x:v>35.86408</x:v>
      </x:c>
      <x:c r="P135" s="52" t="n">
        <x:v>49.534473</x:v>
      </x:c>
      <x:c r="Q135" s="52" t="n">
        <x:f>P135-O135</x:f>
        <x:v>13.670392999999997</x:v>
      </x:c>
      <x:c r="R135" s="58" t="n">
        <x:v>96</x:v>
      </x:c>
      <x:c r="S135" s="58" t="n">
        <x:v>7</x:v>
      </x:c>
      <x:c r="T135" s="64" t="str">
        <x:v>profit_profitAmount</x:v>
      </x:c>
    </x:row>
    <x:row r="136">
      <x:c r="A136" s="61" t="str">
        <x:v>cdea04e8fe981535f5eeb60285102871</x:v>
      </x:c>
      <x:c r="B136" s="64" t="str">
        <x:v>B类：当前真实与预测均盈利，Top1增益超过当前预测误差</x:v>
      </x:c>
      <x:c r="C136" s="64" t="str">
        <x:v>很高（≥2.0倍）</x:v>
      </x:c>
      <x:c r="D136" s="49" t="n">
        <x:v>46259</x:v>
      </x:c>
      <x:c r="E136" s="61" t="str">
        <x:v>10000064</x:v>
      </x:c>
      <x:c r="F136" s="46" t="str">
        <x:v>百度小度</x:v>
      </x:c>
      <x:c r="G136" s="52" t="n">
        <x:v>58.14</x:v>
      </x:c>
      <x:c r="H136" s="52" t="n">
        <x:v>27.096817</x:v>
      </x:c>
      <x:c r="I136" s="52" t="n">
        <x:f>ABS(G136-H136)</x:f>
        <x:v>31.043183</x:v>
      </x:c>
      <x:c r="J136" s="61" t="str">
        <x:v>10000183</x:v>
      </x:c>
      <x:c r="K136" s="46" t="str">
        <x:v>B站专线-盒子</x:v>
      </x:c>
      <x:c r="L136" s="52" t="n">
        <x:v>157.14223</x:v>
      </x:c>
      <x:c r="M136" s="52" t="n">
        <x:f>L136-H136</x:f>
        <x:v>130.045413</x:v>
      </x:c>
      <x:c r="N136" s="55" t="n">
        <x:f>M136/MAX(I136,1)</x:f>
        <x:v>4.189177797908159</x:v>
      </x:c>
      <x:c r="O136" s="52" t="n">
        <x:v>9.338747</x:v>
      </x:c>
      <x:c r="P136" s="52" t="n">
        <x:v>123.27148</x:v>
      </x:c>
      <x:c r="Q136" s="52" t="n">
        <x:f>P136-O136</x:f>
        <x:v>113.932733</x:v>
      </x:c>
      <x:c r="R136" s="58" t="n">
        <x:v>96</x:v>
      </x:c>
      <x:c r="S136" s="58" t="n">
        <x:v>5</x:v>
      </x:c>
      <x:c r="T136" s="64" t="str">
        <x:v>profit_profitAmount</x:v>
      </x:c>
    </x:row>
    <x:row r="137">
      <x:c r="A137" s="61" t="str">
        <x:v>e39b3efcadbbb272eb61734c80f509ae</x:v>
      </x:c>
      <x:c r="B137" s="64" t="str">
        <x:v>B类：当前真实与预测均盈利，Top1增益超过当前预测误差</x:v>
      </x:c>
      <x:c r="C137" s="64" t="str">
        <x:v>很高（≥2.0倍）</x:v>
      </x:c>
      <x:c r="D137" s="49" t="n">
        <x:v>46261</x:v>
      </x:c>
      <x:c r="E137" s="61" t="str">
        <x:v>1380317970</x:v>
      </x:c>
      <x:c r="F137" s="46" t="str">
        <x:v>快手点播</x:v>
      </x:c>
      <x:c r="G137" s="52" t="n">
        <x:v>121.03</x:v>
      </x:c>
      <x:c r="H137" s="52" t="n">
        <x:v>138.24165</x:v>
      </x:c>
      <x:c r="I137" s="52" t="n">
        <x:f>ABS(G137-H137)</x:f>
        <x:v>17.21164999999999</x:v>
      </x:c>
      <x:c r="J137" s="61" t="str">
        <x:v>10000312</x:v>
      </x:c>
      <x:c r="K137" s="46" t="str">
        <x:v>金山云闲时</x:v>
      </x:c>
      <x:c r="L137" s="52" t="n">
        <x:v>210.2202</x:v>
      </x:c>
      <x:c r="M137" s="52" t="n">
        <x:f>L137-H137</x:f>
        <x:v>71.97855000000001</x:v>
      </x:c>
      <x:c r="N137" s="55" t="n">
        <x:f>M137/MAX(I137,1)</x:f>
        <x:v>4.181966865466126</x:v>
      </x:c>
      <x:c r="O137" s="52" t="n">
        <x:v>158.89796</x:v>
      </x:c>
      <x:c r="P137" s="52" t="n">
        <x:v>239.79593</x:v>
      </x:c>
      <x:c r="Q137" s="52" t="n">
        <x:f>P137-O137</x:f>
        <x:v>80.89796999999999</x:v>
      </x:c>
      <x:c r="R137" s="58" t="n">
        <x:v>22</x:v>
      </x:c>
      <x:c r="S137" s="58" t="n">
        <x:v>3</x:v>
      </x:c>
      <x:c r="T137" s="64" t="str">
        <x:v>profit_profitAmount</x:v>
      </x:c>
    </x:row>
    <x:row r="138">
      <x:c r="A138" s="61" t="str">
        <x:v>73bc3e673f33c4da06a232bc51382a49</x:v>
      </x:c>
      <x:c r="B138" s="64" t="str">
        <x:v>B类：当前真实与预测均盈利，Top1增益超过当前预测误差</x:v>
      </x:c>
      <x:c r="C138" s="64" t="str">
        <x:v>很高（≥2.0倍）</x:v>
      </x:c>
      <x:c r="D138" s="49" t="n">
        <x:v>46261</x:v>
      </x:c>
      <x:c r="E138" s="61" t="str">
        <x:v>10000304</x:v>
      </x:c>
      <x:c r="F138" s="46" t="str">
        <x:v>快手严选</x:v>
      </x:c>
      <x:c r="G138" s="52" t="n">
        <x:v>38.01</x:v>
      </x:c>
      <x:c r="H138" s="52" t="n">
        <x:v>24.267517</x:v>
      </x:c>
      <x:c r="I138" s="52" t="n">
        <x:f>ABS(G138-H138)</x:f>
        <x:v>13.742482999999996</x:v>
      </x:c>
      <x:c r="J138" s="61" t="str">
        <x:v>10000183</x:v>
      </x:c>
      <x:c r="K138" s="46" t="str">
        <x:v>B站专线-盒子</x:v>
      </x:c>
      <x:c r="L138" s="52" t="n">
        <x:v>80.03102</x:v>
      </x:c>
      <x:c r="M138" s="52" t="n">
        <x:f>L138-H138</x:f>
        <x:v>55.763503</x:v>
      </x:c>
      <x:c r="N138" s="55" t="n">
        <x:f>M138/MAX(I138,1)</x:f>
        <x:v>4.05774582366229</x:v>
      </x:c>
      <x:c r="O138" s="52" t="n">
        <x:v>30.888233</x:v>
      </x:c>
      <x:c r="P138" s="52" t="n">
        <x:v>73.26788</x:v>
      </x:c>
      <x:c r="Q138" s="52" t="n">
        <x:f>P138-O138</x:f>
        <x:v>42.379647000000006</x:v>
      </x:c>
      <x:c r="R138" s="58" t="n">
        <x:v>96</x:v>
      </x:c>
      <x:c r="S138" s="58" t="n">
        <x:v>7</x:v>
      </x:c>
      <x:c r="T138" s="64" t="str">
        <x:v>profit_profitAmount</x:v>
      </x:c>
    </x:row>
    <x:row r="139">
      <x:c r="A139" s="61" t="str">
        <x:v>f5620bbdf64a546635a34401d1b16b77</x:v>
      </x:c>
      <x:c r="B139" s="64" t="str">
        <x:v>B类：当前真实与预测均盈利，Top1增益超过当前预测误差</x:v>
      </x:c>
      <x:c r="C139" s="64" t="str">
        <x:v>很高（≥2.0倍）</x:v>
      </x:c>
      <x:c r="D139" s="49" t="n">
        <x:v>46261</x:v>
      </x:c>
      <x:c r="E139" s="61" t="str">
        <x:v>10000292</x:v>
      </x:c>
      <x:c r="F139" s="46"/>
      <x:c r="G139" s="52" t="n">
        <x:v>10.75</x:v>
      </x:c>
      <x:c r="H139" s="52" t="n">
        <x:v>4.4546165</x:v>
      </x:c>
      <x:c r="I139" s="52" t="n">
        <x:f>ABS(G139-H139)</x:f>
        <x:v>6.2953835</x:v>
      </x:c>
      <x:c r="J139" s="61" t="str">
        <x:v>1382490022</x:v>
      </x:c>
      <x:c r="K139" s="46" t="str">
        <x:v>快手盒子</x:v>
      </x:c>
      <x:c r="L139" s="52" t="n">
        <x:v>29.913975</x:v>
      </x:c>
      <x:c r="M139" s="52" t="n">
        <x:f>L139-H139</x:f>
        <x:v>25.4593585</x:v>
      </x:c>
      <x:c r="N139" s="55" t="n">
        <x:f>M139/MAX(I139,1)</x:f>
        <x:v>4.044131465541376</x:v>
      </x:c>
      <x:c r="O139" s="52" t="n">
        <x:v>9.770127</x:v>
      </x:c>
      <x:c r="P139" s="52" t="n">
        <x:v>62.38154</x:v>
      </x:c>
      <x:c r="Q139" s="52" t="n">
        <x:f>P139-O139</x:f>
        <x:v>52.611413</x:v>
      </x:c>
      <x:c r="R139" s="58" t="n">
        <x:v>76</x:v>
      </x:c>
      <x:c r="S139" s="58" t="n">
        <x:v>7</x:v>
      </x:c>
      <x:c r="T139" s="64" t="str">
        <x:v>profit_profitAmount</x:v>
      </x:c>
    </x:row>
    <x:row r="140">
      <x:c r="A140" s="61" t="str">
        <x:v>635ac382b6724fe55b49e00352868510</x:v>
      </x:c>
      <x:c r="B140" s="64" t="str">
        <x:v>B类：当前真实与预测均盈利，Top1增益超过当前预测误差</x:v>
      </x:c>
      <x:c r="C140" s="64" t="str">
        <x:v>很高（≥2.0倍）</x:v>
      </x:c>
      <x:c r="D140" s="49" t="n">
        <x:v>46261</x:v>
      </x:c>
      <x:c r="E140" s="61" t="str">
        <x:v>10000292</x:v>
      </x:c>
      <x:c r="F140" s="46"/>
      <x:c r="G140" s="52" t="n">
        <x:v>18.79</x:v>
      </x:c>
      <x:c r="H140" s="52" t="n">
        <x:v>0</x:v>
      </x:c>
      <x:c r="I140" s="52" t="n">
        <x:f>ABS(G140-H140)</x:f>
        <x:v>18.79</x:v>
      </x:c>
      <x:c r="J140" s="61" t="str">
        <x:v>10000183</x:v>
      </x:c>
      <x:c r="K140" s="46" t="str">
        <x:v>B站专线-盒子</x:v>
      </x:c>
      <x:c r="L140" s="52" t="n">
        <x:v>74.46084</x:v>
      </x:c>
      <x:c r="M140" s="52" t="n">
        <x:f>L140-H140</x:f>
        <x:v>74.46084</x:v>
      </x:c>
      <x:c r="N140" s="55" t="n">
        <x:f>M140/MAX(I140,1)</x:f>
        <x:v>3.962790846194785</x:v>
      </x:c>
      <x:c r="O140" s="52" t="n">
        <x:v>-3.385385</x:v>
      </x:c>
      <x:c r="P140" s="52" t="n">
        <x:v>145.81981</x:v>
      </x:c>
      <x:c r="Q140" s="52" t="n">
        <x:f>P140-O140</x:f>
        <x:v>149.205195</x:v>
      </x:c>
      <x:c r="R140" s="58" t="n">
        <x:v>96</x:v>
      </x:c>
      <x:c r="S140" s="58" t="n">
        <x:v>7</x:v>
      </x:c>
      <x:c r="T140" s="64" t="str">
        <x:v>profit_profitAmount</x:v>
      </x:c>
    </x:row>
    <x:row r="141">
      <x:c r="A141" s="61" t="str">
        <x:v>de33a153f82df7842c74a0144d3343d5</x:v>
      </x:c>
      <x:c r="B141" s="64" t="str">
        <x:v>B类：当前真实与预测均盈利，Top1增益超过当前预测误差</x:v>
      </x:c>
      <x:c r="C141" s="64" t="str">
        <x:v>很高（≥2.0倍）</x:v>
      </x:c>
      <x:c r="D141" s="49" t="n">
        <x:v>46261</x:v>
      </x:c>
      <x:c r="E141" s="61" t="str">
        <x:v>10000064</x:v>
      </x:c>
      <x:c r="F141" s="46" t="str">
        <x:v>百度小度</x:v>
      </x:c>
      <x:c r="G141" s="52" t="n">
        <x:v>9.81</x:v>
      </x:c>
      <x:c r="H141" s="52" t="n">
        <x:v>2.1204662</x:v>
      </x:c>
      <x:c r="I141" s="52" t="n">
        <x:f>ABS(G141-H141)</x:f>
        <x:v>7.6895338</x:v>
      </x:c>
      <x:c r="J141" s="61" t="str">
        <x:v>10000183</x:v>
      </x:c>
      <x:c r="K141" s="46" t="str">
        <x:v>B站专线-盒子</x:v>
      </x:c>
      <x:c r="L141" s="52" t="n">
        <x:v>31.7221</x:v>
      </x:c>
      <x:c r="M141" s="52" t="n">
        <x:f>L141-H141</x:f>
        <x:v>29.601633800000002</x:v>
      </x:c>
      <x:c r="N141" s="55" t="n">
        <x:f>M141/MAX(I141,1)</x:f>
        <x:v>3.8496005830678577</x:v>
      </x:c>
      <x:c r="O141" s="52" t="n">
        <x:v>-3.940785</x:v>
      </x:c>
      <x:c r="P141" s="52" t="n">
        <x:v>52.76609</x:v>
      </x:c>
      <x:c r="Q141" s="52" t="n">
        <x:f>P141-O141</x:f>
        <x:v>56.706875</x:v>
      </x:c>
      <x:c r="R141" s="58" t="n">
        <x:v>96</x:v>
      </x:c>
      <x:c r="S141" s="58" t="n">
        <x:v>7</x:v>
      </x:c>
      <x:c r="T141" s="64" t="str">
        <x:v>profit_profitAmount</x:v>
      </x:c>
    </x:row>
    <x:row r="142">
      <x:c r="A142" s="61" t="str">
        <x:v>ec6ead68dad1a7794c846c1fb22be47a</x:v>
      </x:c>
      <x:c r="B142" s="64" t="str">
        <x:v>B类：当前真实与预测均盈利，Top1增益超过当前预测误差</x:v>
      </x:c>
      <x:c r="C142" s="64" t="str">
        <x:v>很高（≥2.0倍）</x:v>
      </x:c>
      <x:c r="D142" s="49" t="n">
        <x:v>46261</x:v>
      </x:c>
      <x:c r="E142" s="61" t="str">
        <x:v>10000244</x:v>
      </x:c>
      <x:c r="F142" s="46" t="str">
        <x:v>B站专线-盒子V2</x:v>
      </x:c>
      <x:c r="G142" s="52" t="n">
        <x:v>8.87</x:v>
      </x:c>
      <x:c r="H142" s="52" t="n">
        <x:v>7.6443024</x:v>
      </x:c>
      <x:c r="I142" s="52" t="n">
        <x:f>ABS(G142-H142)</x:f>
        <x:v>1.2256975999999993</x:v>
      </x:c>
      <x:c r="J142" s="61" t="str">
        <x:v>10000123</x:v>
      </x:c>
      <x:c r="K142" s="46" t="str">
        <x:v>金山云ern_HQ</x:v>
      </x:c>
      <x:c r="L142" s="52" t="n">
        <x:v>12.3224745</x:v>
      </x:c>
      <x:c r="M142" s="52" t="n">
        <x:f>L142-H142</x:f>
        <x:v>4.6781721</x:v>
      </x:c>
      <x:c r="N142" s="55" t="n">
        <x:f>M142/MAX(I142,1)</x:f>
        <x:v>3.8167424819955618</x:v>
      </x:c>
      <x:c r="O142" s="52" t="n">
        <x:v>-6.529991</x:v>
      </x:c>
      <x:c r="P142" s="52" t="n">
        <x:v>25.66286</x:v>
      </x:c>
      <x:c r="Q142" s="52" t="n">
        <x:f>P142-O142</x:f>
        <x:v>32.192851</x:v>
      </x:c>
      <x:c r="R142" s="58" t="n">
        <x:v>350</x:v>
      </x:c>
      <x:c r="S142" s="58" t="n">
        <x:v>7</x:v>
      </x:c>
      <x:c r="T142" s="64" t="str">
        <x:v>profit_profitAmount</x:v>
      </x:c>
    </x:row>
    <x:row r="143">
      <x:c r="A143" s="61" t="str">
        <x:v>ff99b331f69b1aa0de2e36283f08abae</x:v>
      </x:c>
      <x:c r="B143" s="64" t="str">
        <x:v>B类：当前真实与预测均盈利，Top1增益超过当前预测误差</x:v>
      </x:c>
      <x:c r="C143" s="64" t="str">
        <x:v>很高（≥2.0倍）</x:v>
      </x:c>
      <x:c r="D143" s="49" t="n">
        <x:v>46261</x:v>
      </x:c>
      <x:c r="E143" s="61" t="str">
        <x:v>10000019</x:v>
      </x:c>
      <x:c r="F143" s="46" t="str">
        <x:v>B站盒子</x:v>
      </x:c>
      <x:c r="G143" s="52" t="n">
        <x:v>1.37</x:v>
      </x:c>
      <x:c r="H143" s="52" t="n">
        <x:v>0</x:v>
      </x:c>
      <x:c r="I143" s="52" t="n">
        <x:f>ABS(G143-H143)</x:f>
        <x:v>1.37</x:v>
      </x:c>
      <x:c r="J143" s="61" t="str">
        <x:v>10000000</x:v>
      </x:c>
      <x:c r="K143" s="46" t="str">
        <x:v>腾讯汇聚直连</x:v>
      </x:c>
      <x:c r="L143" s="52" t="n">
        <x:v>5.066914</x:v>
      </x:c>
      <x:c r="M143" s="52" t="n">
        <x:f>L143-H143</x:f>
        <x:v>5.066914</x:v>
      </x:c>
      <x:c r="N143" s="55" t="n">
        <x:f>M143/MAX(I143,1)</x:f>
        <x:v>3.698477372262773</x:v>
      </x:c>
      <x:c r="O143" s="52" t="n">
        <x:v>-10.655952</x:v>
      </x:c>
      <x:c r="P143" s="52" t="n">
        <x:v>8.820311</x:v>
      </x:c>
      <x:c r="Q143" s="52" t="n">
        <x:f>P143-O143</x:f>
        <x:v>19.476263</x:v>
      </x:c>
      <x:c r="R143" s="58" t="n">
        <x:v>37</x:v>
      </x:c>
      <x:c r="S143" s="58" t="n">
        <x:v>7</x:v>
      </x:c>
      <x:c r="T143" s="64" t="str">
        <x:v>profit_profitAmount</x:v>
      </x:c>
    </x:row>
    <x:row r="144">
      <x:c r="A144" s="61" t="str">
        <x:v>99b67d1d4157b2e39eea709d214c7ea4</x:v>
      </x:c>
      <x:c r="B144" s="64" t="str">
        <x:v>B类：当前真实与预测均盈利，Top1增益超过当前预测误差</x:v>
      </x:c>
      <x:c r="C144" s="64" t="str">
        <x:v>很高（≥2.0倍）</x:v>
      </x:c>
      <x:c r="D144" s="49" t="n">
        <x:v>46261</x:v>
      </x:c>
      <x:c r="E144" s="61" t="str">
        <x:v>10000304</x:v>
      </x:c>
      <x:c r="F144" s="46" t="str">
        <x:v>快手严选</x:v>
      </x:c>
      <x:c r="G144" s="52" t="n">
        <x:v>43.27</x:v>
      </x:c>
      <x:c r="H144" s="52" t="n">
        <x:v>27.613739</x:v>
      </x:c>
      <x:c r="I144" s="52" t="n">
        <x:f>ABS(G144-H144)</x:f>
        <x:v>15.656261000000004</x:v>
      </x:c>
      <x:c r="J144" s="61" t="str">
        <x:v>10000183</x:v>
      </x:c>
      <x:c r="K144" s="46" t="str">
        <x:v>B站专线-盒子</x:v>
      </x:c>
      <x:c r="L144" s="52" t="n">
        <x:v>85.04928</x:v>
      </x:c>
      <x:c r="M144" s="52" t="n">
        <x:f>L144-H144</x:f>
        <x:v>57.435541</x:v>
      </x:c>
      <x:c r="N144" s="55" t="n">
        <x:f>M144/MAX(I144,1)</x:f>
        <x:v>3.668534971408562</x:v>
      </x:c>
      <x:c r="O144" s="52" t="n">
        <x:v>34.85603</x:v>
      </x:c>
      <x:c r="P144" s="52" t="n">
        <x:v>48.878647</x:v>
      </x:c>
      <x:c r="Q144" s="52" t="n">
        <x:f>P144-O144</x:f>
        <x:v>14.022617000000004</x:v>
      </x:c>
      <x:c r="R144" s="58" t="n">
        <x:v>96</x:v>
      </x:c>
      <x:c r="S144" s="58" t="n">
        <x:v>7</x:v>
      </x:c>
      <x:c r="T144" s="64" t="str">
        <x:v>profit_profitAmount</x:v>
      </x:c>
    </x:row>
    <x:row r="145">
      <x:c r="A145" s="61" t="str">
        <x:v>ddba10634a789d7813f3db085e85e1b8</x:v>
      </x:c>
      <x:c r="B145" s="64" t="str">
        <x:v>B类：当前真实与预测均盈利，Top1增益超过当前预测误差</x:v>
      </x:c>
      <x:c r="C145" s="64" t="str">
        <x:v>很高（≥2.0倍）</x:v>
      </x:c>
      <x:c r="D145" s="49" t="n">
        <x:v>46261</x:v>
      </x:c>
      <x:c r="E145" s="61" t="str">
        <x:v>10000064</x:v>
      </x:c>
      <x:c r="F145" s="46" t="str">
        <x:v>百度小度</x:v>
      </x:c>
      <x:c r="G145" s="52" t="n">
        <x:v>9.49</x:v>
      </x:c>
      <x:c r="H145" s="52" t="n">
        <x:v>0</x:v>
      </x:c>
      <x:c r="I145" s="52" t="n">
        <x:f>ABS(G145-H145)</x:f>
        <x:v>9.49</x:v>
      </x:c>
      <x:c r="J145" s="61" t="str">
        <x:v>1382490022</x:v>
      </x:c>
      <x:c r="K145" s="46" t="str">
        <x:v>快手盒子</x:v>
      </x:c>
      <x:c r="L145" s="52" t="n">
        <x:v>33.551876</x:v>
      </x:c>
      <x:c r="M145" s="52" t="n">
        <x:f>L145-H145</x:f>
        <x:v>33.551876</x:v>
      </x:c>
      <x:c r="N145" s="55" t="n">
        <x:f>M145/MAX(I145,1)</x:f>
        <x:v>3.5354979978925183</x:v>
      </x:c>
      <x:c r="O145" s="52" t="n">
        <x:v>-11.742252</x:v>
      </x:c>
      <x:c r="P145" s="52" t="n">
        <x:v>44.339123</x:v>
      </x:c>
      <x:c r="Q145" s="52" t="n">
        <x:f>P145-O145</x:f>
        <x:v>56.081375</x:v>
      </x:c>
      <x:c r="R145" s="58" t="n">
        <x:v>76</x:v>
      </x:c>
      <x:c r="S145" s="58" t="n">
        <x:v>6</x:v>
      </x:c>
      <x:c r="T145" s="64" t="str">
        <x:v>profit_profitAmount</x:v>
      </x:c>
    </x:row>
    <x:row r="146">
      <x:c r="A146" s="61" t="str">
        <x:v>31c7d4d94939e010dd696100f85f3dfd</x:v>
      </x:c>
      <x:c r="B146" s="64" t="str">
        <x:v>B类：当前真实与预测均盈利，Top1增益超过当前预测误差</x:v>
      </x:c>
      <x:c r="C146" s="64" t="str">
        <x:v>很高（≥2.0倍）</x:v>
      </x:c>
      <x:c r="D146" s="49" t="n">
        <x:v>46261</x:v>
      </x:c>
      <x:c r="E146" s="61" t="str">
        <x:v>10000304</x:v>
      </x:c>
      <x:c r="F146" s="46" t="str">
        <x:v>快手严选</x:v>
      </x:c>
      <x:c r="G146" s="52" t="n">
        <x:v>36.82</x:v>
      </x:c>
      <x:c r="H146" s="52" t="n">
        <x:v>12.528488</x:v>
      </x:c>
      <x:c r="I146" s="52" t="n">
        <x:f>ABS(G146-H146)</x:f>
        <x:v>24.291512</x:v>
      </x:c>
      <x:c r="J146" s="61" t="str">
        <x:v>10000183</x:v>
      </x:c>
      <x:c r="K146" s="46" t="str">
        <x:v>B站专线-盒子</x:v>
      </x:c>
      <x:c r="L146" s="52" t="n">
        <x:v>96.90764</x:v>
      </x:c>
      <x:c r="M146" s="52" t="n">
        <x:f>L146-H146</x:f>
        <x:v>84.379152</x:v>
      </x:c>
      <x:c r="N146" s="55" t="n">
        <x:f>M146/MAX(I146,1)</x:f>
        <x:v>3.4736064185712276</x:v>
      </x:c>
      <x:c r="O146" s="52" t="n">
        <x:v>15.605359</x:v>
      </x:c>
      <x:c r="P146" s="52" t="n">
        <x:v>174.66805</x:v>
      </x:c>
      <x:c r="Q146" s="52" t="n">
        <x:f>P146-O146</x:f>
        <x:v>159.062691</x:v>
      </x:c>
      <x:c r="R146" s="58" t="n">
        <x:v>96</x:v>
      </x:c>
      <x:c r="S146" s="58" t="n">
        <x:v>7</x:v>
      </x:c>
      <x:c r="T146" s="64" t="str">
        <x:v>profit_profitAmount</x:v>
      </x:c>
    </x:row>
    <x:row r="147">
      <x:c r="A147" s="61" t="str">
        <x:v>80d203c2b5725faaa82a6f5f03ff55bb</x:v>
      </x:c>
      <x:c r="B147" s="64" t="str">
        <x:v>B类：当前真实与预测均盈利，Top1增益超过当前预测误差</x:v>
      </x:c>
      <x:c r="C147" s="64" t="str">
        <x:v>很高（≥2.0倍）</x:v>
      </x:c>
      <x:c r="D147" s="49" t="n">
        <x:v>46261</x:v>
      </x:c>
      <x:c r="E147" s="61" t="str">
        <x:v>1380317970</x:v>
      </x:c>
      <x:c r="F147" s="46" t="str">
        <x:v>快手点播</x:v>
      </x:c>
      <x:c r="G147" s="52" t="n">
        <x:v>154.14</x:v>
      </x:c>
      <x:c r="H147" s="52" t="n">
        <x:v>136.81247</x:v>
      </x:c>
      <x:c r="I147" s="52" t="n">
        <x:f>ABS(G147-H147)</x:f>
        <x:v>17.327529999999996</x:v>
      </x:c>
      <x:c r="J147" s="61" t="str">
        <x:v>10000183</x:v>
      </x:c>
      <x:c r="K147" s="46" t="str">
        <x:v>B站专线-盒子</x:v>
      </x:c>
      <x:c r="L147" s="52" t="n">
        <x:v>195.22632</x:v>
      </x:c>
      <x:c r="M147" s="52" t="n">
        <x:f>L147-H147</x:f>
        <x:v>58.41385</x:v>
      </x:c>
      <x:c r="N147" s="55" t="n">
        <x:f>M147/MAX(I147,1)</x:f>
        <x:v>3.3711584974892563</x:v>
      </x:c>
      <x:c r="O147" s="52" t="n">
        <x:v>150.3546</x:v>
      </x:c>
      <x:c r="P147" s="52" t="n">
        <x:v>232.08318</x:v>
      </x:c>
      <x:c r="Q147" s="52" t="n">
        <x:f>P147-O147</x:f>
        <x:v>81.72858</x:v>
      </x:c>
      <x:c r="R147" s="58" t="n">
        <x:v>96</x:v>
      </x:c>
      <x:c r="S147" s="58" t="n">
        <x:v>3</x:v>
      </x:c>
      <x:c r="T147" s="64" t="str">
        <x:v>profit_profitAmount</x:v>
      </x:c>
    </x:row>
    <x:row r="148">
      <x:c r="A148" s="61" t="str">
        <x:v>854d8c62953cad3fc6a686eb567233bc</x:v>
      </x:c>
      <x:c r="B148" s="64" t="str">
        <x:v>B类：当前真实与预测均盈利，Top1增益超过当前预测误差</x:v>
      </x:c>
      <x:c r="C148" s="64" t="str">
        <x:v>很高（≥2.0倍）</x:v>
      </x:c>
      <x:c r="D148" s="49" t="n">
        <x:v>46261</x:v>
      </x:c>
      <x:c r="E148" s="61" t="str">
        <x:v>10000292</x:v>
      </x:c>
      <x:c r="F148" s="46"/>
      <x:c r="G148" s="52" t="n">
        <x:v>18.05</x:v>
      </x:c>
      <x:c r="H148" s="52" t="n">
        <x:v>6.1217575</x:v>
      </x:c>
      <x:c r="I148" s="52" t="n">
        <x:f>ABS(G148-H148)</x:f>
        <x:v>11.9282425</x:v>
      </x:c>
      <x:c r="J148" s="61" t="str">
        <x:v>10000183</x:v>
      </x:c>
      <x:c r="K148" s="46" t="str">
        <x:v>B站专线-盒子</x:v>
      </x:c>
      <x:c r="L148" s="52" t="n">
        <x:v>46.32833</x:v>
      </x:c>
      <x:c r="M148" s="52" t="n">
        <x:f>L148-H148</x:f>
        <x:v>40.2065725</x:v>
      </x:c>
      <x:c r="N148" s="55" t="n">
        <x:f>M148/MAX(I148,1)</x:f>
        <x:v>3.370703814916573</x:v>
      </x:c>
      <x:c r="O148" s="52" t="n">
        <x:v>4.122423</x:v>
      </x:c>
      <x:c r="P148" s="52" t="n">
        <x:v>19.800875</x:v>
      </x:c>
      <x:c r="Q148" s="52" t="n">
        <x:f>P148-O148</x:f>
        <x:v>15.678452</x:v>
      </x:c>
      <x:c r="R148" s="58" t="n">
        <x:v>96</x:v>
      </x:c>
      <x:c r="S148" s="58" t="n">
        <x:v>7</x:v>
      </x:c>
      <x:c r="T148" s="64" t="str">
        <x:v>profit_profitAmount</x:v>
      </x:c>
    </x:row>
    <x:row r="149">
      <x:c r="A149" s="61" t="str">
        <x:v>ed1a775a68a5bf0f75e0535c5a854ece</x:v>
      </x:c>
      <x:c r="B149" s="64" t="str">
        <x:v>B类：当前真实与预测均盈利，Top1增益超过当前预测误差</x:v>
      </x:c>
      <x:c r="C149" s="64" t="str">
        <x:v>很高（≥2.0倍）</x:v>
      </x:c>
      <x:c r="D149" s="49" t="n">
        <x:v>46261</x:v>
      </x:c>
      <x:c r="E149" s="61" t="str">
        <x:v>1382490022</x:v>
      </x:c>
      <x:c r="F149" s="46" t="str">
        <x:v>快手盒子</x:v>
      </x:c>
      <x:c r="G149" s="52" t="n">
        <x:v>146.71</x:v>
      </x:c>
      <x:c r="H149" s="52" t="n">
        <x:v>111.17467</x:v>
      </x:c>
      <x:c r="I149" s="52" t="n">
        <x:f>ABS(G149-H149)</x:f>
        <x:v>35.53533</x:v>
      </x:c>
      <x:c r="J149" s="61" t="str">
        <x:v>10000312</x:v>
      </x:c>
      <x:c r="K149" s="46" t="str">
        <x:v>金山云闲时</x:v>
      </x:c>
      <x:c r="L149" s="52" t="n">
        <x:v>230.36017</x:v>
      </x:c>
      <x:c r="M149" s="52" t="n">
        <x:f>L149-H149</x:f>
        <x:v>119.1855</x:v>
      </x:c>
      <x:c r="N149" s="55" t="n">
        <x:f>M149/MAX(I149,1)</x:f>
        <x:v>3.354000089488405</x:v>
      </x:c>
      <x:c r="O149" s="52" t="n">
        <x:v>105.012856</x:v>
      </x:c>
      <x:c r="P149" s="52" t="n">
        <x:v>240.42126</x:v>
      </x:c>
      <x:c r="Q149" s="52" t="n">
        <x:f>P149-O149</x:f>
        <x:v>135.408404</x:v>
      </x:c>
      <x:c r="R149" s="58" t="n">
        <x:v>22</x:v>
      </x:c>
      <x:c r="S149" s="58" t="n">
        <x:v>4</x:v>
      </x:c>
      <x:c r="T149" s="64" t="str">
        <x:v>profit_profitAmount</x:v>
      </x:c>
    </x:row>
    <x:row r="150">
      <x:c r="A150" s="61" t="str">
        <x:v>309ef4dc8d4a6fbc58b9bc22df3fe32a</x:v>
      </x:c>
      <x:c r="B150" s="64" t="str">
        <x:v>B类：当前真实与预测均盈利，Top1增益超过当前预测误差</x:v>
      </x:c>
      <x:c r="C150" s="64" t="str">
        <x:v>很高（≥2.0倍）</x:v>
      </x:c>
      <x:c r="D150" s="49" t="n">
        <x:v>46261</x:v>
      </x:c>
      <x:c r="E150" s="61" t="str">
        <x:v>10000079</x:v>
      </x:c>
      <x:c r="F150" s="46" t="str">
        <x:v>字节架构汇聚V2</x:v>
      </x:c>
      <x:c r="G150" s="52" t="n">
        <x:v>6.68</x:v>
      </x:c>
      <x:c r="H150" s="52" t="n">
        <x:v>1.24329</x:v>
      </x:c>
      <x:c r="I150" s="52" t="n">
        <x:f>ABS(G150-H150)</x:f>
        <x:v>5.43671</x:v>
      </x:c>
      <x:c r="J150" s="61" t="str">
        <x:v>10000122</x:v>
      </x:c>
      <x:c r="K150" s="46" t="str">
        <x:v>金山云汇聚ern</x:v>
      </x:c>
      <x:c r="L150" s="52" t="n">
        <x:v>19.338228</x:v>
      </x:c>
      <x:c r="M150" s="52" t="n">
        <x:f>L150-H150</x:f>
        <x:v>18.094938</x:v>
      </x:c>
      <x:c r="N150" s="55" t="n">
        <x:f>M150/MAX(I150,1)</x:f>
        <x:v>3.3282882478557805</x:v>
      </x:c>
      <x:c r="O150" s="52" t="n">
        <x:v>-2.12411</x:v>
      </x:c>
      <x:c r="P150" s="52" t="n">
        <x:v>7.8522034</x:v>
      </x:c>
      <x:c r="Q150" s="52" t="n">
        <x:f>P150-O150</x:f>
        <x:v>9.976313399999999</x:v>
      </x:c>
      <x:c r="R150" s="58" t="n">
        <x:v>114</x:v>
      </x:c>
      <x:c r="S150" s="58" t="n">
        <x:v>7</x:v>
      </x:c>
      <x:c r="T150" s="64" t="str">
        <x:v>profit_profitAmount</x:v>
      </x:c>
    </x:row>
    <x:row r="151">
      <x:c r="A151" s="61" t="str">
        <x:v>a5046068e7394d88265d90fc6214641c</x:v>
      </x:c>
      <x:c r="B151" s="64" t="str">
        <x:v>B类：当前真实与预测均盈利，Top1增益超过当前预测误差</x:v>
      </x:c>
      <x:c r="C151" s="64" t="str">
        <x:v>很高（≥2.0倍）</x:v>
      </x:c>
      <x:c r="D151" s="49" t="n">
        <x:v>46258</x:v>
      </x:c>
      <x:c r="E151" s="61" t="str">
        <x:v>10000244</x:v>
      </x:c>
      <x:c r="F151" s="46" t="str">
        <x:v>B站专线-盒子V2</x:v>
      </x:c>
      <x:c r="G151" s="52" t="n">
        <x:v>67.79</x:v>
      </x:c>
      <x:c r="H151" s="52" t="n">
        <x:v>106.19757</x:v>
      </x:c>
      <x:c r="I151" s="52" t="n">
        <x:f>ABS(G151-H151)</x:f>
        <x:v>38.40756999999999</x:v>
      </x:c>
      <x:c r="J151" s="61" t="str">
        <x:v>10000183</x:v>
      </x:c>
      <x:c r="K151" s="46" t="str">
        <x:v>B站专线-盒子</x:v>
      </x:c>
      <x:c r="L151" s="52" t="n">
        <x:v>228.80338</x:v>
      </x:c>
      <x:c r="M151" s="52" t="n">
        <x:f>L151-H151</x:f>
        <x:v>122.60581</x:v>
      </x:c>
      <x:c r="N151" s="55" t="n">
        <x:f>M151/MAX(I151,1)</x:f>
        <x:v>3.1922303337597255</x:v>
      </x:c>
      <x:c r="O151" s="52" t="n">
        <x:v>128.76323</x:v>
      </x:c>
      <x:c r="P151" s="52" t="n">
        <x:v>217.30782</x:v>
      </x:c>
      <x:c r="Q151" s="52" t="n">
        <x:f>P151-O151</x:f>
        <x:v>88.54459</x:v>
      </x:c>
      <x:c r="R151" s="58" t="n">
        <x:v>96</x:v>
      </x:c>
      <x:c r="S151" s="58" t="n">
        <x:v>4</x:v>
      </x:c>
      <x:c r="T151" s="64" t="str">
        <x:v>profit_profitAmount</x:v>
      </x:c>
    </x:row>
    <x:row r="152">
      <x:c r="A152" s="61" t="str">
        <x:v>19d35706da83f3ce6ad722e26079b3c6</x:v>
      </x:c>
      <x:c r="B152" s="64" t="str">
        <x:v>B类：当前真实与预测均盈利，Top1增益超过当前预测误差</x:v>
      </x:c>
      <x:c r="C152" s="64" t="str">
        <x:v>很高（≥2.0倍）</x:v>
      </x:c>
      <x:c r="D152" s="49" t="n">
        <x:v>46261</x:v>
      </x:c>
      <x:c r="E152" s="61" t="str">
        <x:v>10000304</x:v>
      </x:c>
      <x:c r="F152" s="46" t="str">
        <x:v>快手严选</x:v>
      </x:c>
      <x:c r="G152" s="52" t="n">
        <x:v>9.86</x:v>
      </x:c>
      <x:c r="H152" s="52" t="n">
        <x:v>0.8486662</x:v>
      </x:c>
      <x:c r="I152" s="52" t="n">
        <x:f>ABS(G152-H152)</x:f>
        <x:v>9.0113338</x:v>
      </x:c>
      <x:c r="J152" s="61" t="str">
        <x:v>10000278</x:v>
      </x:c>
      <x:c r="K152" s="46" t="str">
        <x:v>__MISSING__</x:v>
      </x:c>
      <x:c r="L152" s="52" t="n">
        <x:v>29.164375</x:v>
      </x:c>
      <x:c r="M152" s="52" t="n">
        <x:f>L152-H152</x:f>
        <x:v>28.3157088</x:v>
      </x:c>
      <x:c r="N152" s="55" t="n">
        <x:f>M152/MAX(I152,1)</x:f>
        <x:v>3.142232817965305</x:v>
      </x:c>
      <x:c r="O152" s="52" t="n">
        <x:v>-2.4264145</x:v>
      </x:c>
      <x:c r="P152" s="52" t="n">
        <x:v>29.21753</x:v>
      </x:c>
      <x:c r="Q152" s="52" t="n">
        <x:f>P152-O152</x:f>
        <x:v>31.6439445</x:v>
      </x:c>
      <x:c r="R152" s="58" t="n">
        <x:v>1643</x:v>
      </x:c>
      <x:c r="S152" s="58" t="n">
        <x:v>7</x:v>
      </x:c>
      <x:c r="T152" s="64" t="str">
        <x:v>profit_profitAmount</x:v>
      </x:c>
    </x:row>
    <x:row r="153">
      <x:c r="A153" s="61" t="str">
        <x:v>9d88c1d261369e31573c380dca47f754</x:v>
      </x:c>
      <x:c r="B153" s="64" t="str">
        <x:v>B类：当前真实与预测均盈利，Top1增益超过当前预测误差</x:v>
      </x:c>
      <x:c r="C153" s="64" t="str">
        <x:v>很高（≥2.0倍）</x:v>
      </x:c>
      <x:c r="D153" s="49" t="n">
        <x:v>46261</x:v>
      </x:c>
      <x:c r="E153" s="61" t="str">
        <x:v>10000019</x:v>
      </x:c>
      <x:c r="F153" s="46" t="str">
        <x:v>B站盒子</x:v>
      </x:c>
      <x:c r="G153" s="52" t="n">
        <x:v>143.86</x:v>
      </x:c>
      <x:c r="H153" s="52" t="n">
        <x:v>92.98476</x:v>
      </x:c>
      <x:c r="I153" s="52" t="n">
        <x:f>ABS(G153-H153)</x:f>
        <x:v>50.87524000000002</x:v>
      </x:c>
      <x:c r="J153" s="61" t="str">
        <x:v>10000183</x:v>
      </x:c>
      <x:c r="K153" s="46" t="str">
        <x:v>B站专线-盒子</x:v>
      </x:c>
      <x:c r="L153" s="52" t="n">
        <x:v>250.03273</x:v>
      </x:c>
      <x:c r="M153" s="52" t="n">
        <x:f>L153-H153</x:f>
        <x:v>157.04797</x:v>
      </x:c>
      <x:c r="N153" s="55" t="n">
        <x:f>M153/MAX(I153,1)</x:f>
        <x:v>3.0869234228673896</x:v>
      </x:c>
      <x:c r="O153" s="52" t="n">
        <x:v>90.981544</x:v>
      </x:c>
      <x:c r="P153" s="52" t="n">
        <x:v>240.22664</x:v>
      </x:c>
      <x:c r="Q153" s="52" t="n">
        <x:f>P153-O153</x:f>
        <x:v>149.245096</x:v>
      </x:c>
      <x:c r="R153" s="58" t="n">
        <x:v>96</x:v>
      </x:c>
      <x:c r="S153" s="58" t="n">
        <x:v>7</x:v>
      </x:c>
      <x:c r="T153" s="64" t="str">
        <x:v>profit_profitAmount</x:v>
      </x:c>
    </x:row>
    <x:row r="154">
      <x:c r="A154" s="61" t="str">
        <x:v>0f7d4c62f1b3a0d8d38d21933d87d766</x:v>
      </x:c>
      <x:c r="B154" s="64" t="str">
        <x:v>B类：当前真实与预测均盈利，Top1增益超过当前预测误差</x:v>
      </x:c>
      <x:c r="C154" s="64" t="str">
        <x:v>很高（≥2.0倍）</x:v>
      </x:c>
      <x:c r="D154" s="49" t="n">
        <x:v>46261</x:v>
      </x:c>
      <x:c r="E154" s="61" t="str">
        <x:v>1382680008</x:v>
      </x:c>
      <x:c r="F154" s="46" t="str">
        <x:v>字节CDN专线</x:v>
      </x:c>
      <x:c r="G154" s="52" t="n">
        <x:v>144.68</x:v>
      </x:c>
      <x:c r="H154" s="52" t="n">
        <x:v>128.08722</x:v>
      </x:c>
      <x:c r="I154" s="52" t="n">
        <x:f>ABS(G154-H154)</x:f>
        <x:v>16.592780000000005</x:v>
      </x:c>
      <x:c r="J154" s="61" t="str">
        <x:v>10000304</x:v>
      </x:c>
      <x:c r="K154" s="46" t="str">
        <x:v>快手严选</x:v>
      </x:c>
      <x:c r="L154" s="52" t="n">
        <x:v>178.97244</x:v>
      </x:c>
      <x:c r="M154" s="52" t="n">
        <x:f>L154-H154</x:f>
        <x:v>50.885220000000004</x:v>
      </x:c>
      <x:c r="N154" s="55" t="n">
        <x:f>M154/MAX(I154,1)</x:f>
        <x:v>3.0667085322652374</x:v>
      </x:c>
      <x:c r="O154" s="52" t="n">
        <x:v>120.20641</x:v>
      </x:c>
      <x:c r="P154" s="52" t="n">
        <x:v>201.39467</x:v>
      </x:c>
      <x:c r="Q154" s="52" t="n">
        <x:f>P154-O154</x:f>
        <x:v>81.18825999999999</x:v>
      </x:c>
      <x:c r="R154" s="58" t="n">
        <x:v>393</x:v>
      </x:c>
      <x:c r="S154" s="58" t="n">
        <x:v>7</x:v>
      </x:c>
      <x:c r="T154" s="64" t="str">
        <x:v>profit_profitAmount</x:v>
      </x:c>
    </x:row>
    <x:row r="155">
      <x:c r="A155" s="61" t="str">
        <x:v>9da311ac870c2eb86b75f68943724ab5</x:v>
      </x:c>
      <x:c r="B155" s="64" t="str">
        <x:v>B类：当前真实与预测均盈利，Top1增益超过当前预测误差</x:v>
      </x:c>
      <x:c r="C155" s="64" t="str">
        <x:v>很高（≥2.0倍）</x:v>
      </x:c>
      <x:c r="D155" s="49" t="n">
        <x:v>46261</x:v>
      </x:c>
      <x:c r="E155" s="61" t="str">
        <x:v>10000295</x:v>
      </x:c>
      <x:c r="F155" s="46"/>
      <x:c r="G155" s="52" t="n">
        <x:v>73.71</x:v>
      </x:c>
      <x:c r="H155" s="52" t="n">
        <x:v>0</x:v>
      </x:c>
      <x:c r="I155" s="52" t="n">
        <x:f>ABS(G155-H155)</x:f>
        <x:v>73.71</x:v>
      </x:c>
      <x:c r="J155" s="61" t="str">
        <x:v>10000183</x:v>
      </x:c>
      <x:c r="K155" s="46" t="str">
        <x:v>B站专线-盒子</x:v>
      </x:c>
      <x:c r="L155" s="52" t="n">
        <x:v>225.04501</x:v>
      </x:c>
      <x:c r="M155" s="52" t="n">
        <x:f>L155-H155</x:f>
        <x:v>225.04501</x:v>
      </x:c>
      <x:c r="N155" s="55" t="n">
        <x:f>M155/MAX(I155,1)</x:f>
        <x:v>3.0531136887803556</x:v>
      </x:c>
      <x:c r="O155" s="52" t="n">
        <x:v>8.242363</x:v>
      </x:c>
      <x:c r="P155" s="52" t="n">
        <x:v>93.96277</x:v>
      </x:c>
      <x:c r="Q155" s="52" t="n">
        <x:f>P155-O155</x:f>
        <x:v>85.72040700000001</x:v>
      </x:c>
      <x:c r="R155" s="58" t="n">
        <x:v>96</x:v>
      </x:c>
      <x:c r="S155" s="58" t="n">
        <x:v>7</x:v>
      </x:c>
      <x:c r="T155" s="64" t="str">
        <x:v>profit_profitAmount</x:v>
      </x:c>
    </x:row>
    <x:row r="156">
      <x:c r="A156" s="61" t="str">
        <x:v>a58b008a7670071ae6921b883da6a1de</x:v>
      </x:c>
      <x:c r="B156" s="64" t="str">
        <x:v>B类：当前真实与预测均盈利，Top1增益超过当前预测误差</x:v>
      </x:c>
      <x:c r="C156" s="64" t="str">
        <x:v>很高（≥2.0倍）</x:v>
      </x:c>
      <x:c r="D156" s="49" t="n">
        <x:v>46261</x:v>
      </x:c>
      <x:c r="E156" s="61" t="str">
        <x:v>10000019</x:v>
      </x:c>
      <x:c r="F156" s="46" t="str">
        <x:v>B站盒子</x:v>
      </x:c>
      <x:c r="G156" s="52" t="n">
        <x:v>17.29</x:v>
      </x:c>
      <x:c r="H156" s="52" t="n">
        <x:v>0</x:v>
      </x:c>
      <x:c r="I156" s="52" t="n">
        <x:f>ABS(G156-H156)</x:f>
        <x:v>17.29</x:v>
      </x:c>
      <x:c r="J156" s="61" t="str">
        <x:v>10000079</x:v>
      </x:c>
      <x:c r="K156" s="46" t="str">
        <x:v>字节架构汇聚V2</x:v>
      </x:c>
      <x:c r="L156" s="52" t="n">
        <x:v>52.34809</x:v>
      </x:c>
      <x:c r="M156" s="52" t="n">
        <x:f>L156-H156</x:f>
        <x:v>52.34809</x:v>
      </x:c>
      <x:c r="N156" s="55" t="n">
        <x:f>M156/MAX(I156,1)</x:f>
        <x:v>3.0276512434933487</x:v>
      </x:c>
      <x:c r="O156" s="52" t="n">
        <x:v>1.6599727</x:v>
      </x:c>
      <x:c r="P156" s="52" t="n">
        <x:v>30.35584</x:v>
      </x:c>
      <x:c r="Q156" s="52" t="n">
        <x:f>P156-O156</x:f>
        <x:v>28.6958673</x:v>
      </x:c>
      <x:c r="R156" s="58" t="n">
        <x:v>1544</x:v>
      </x:c>
      <x:c r="S156" s="58" t="n">
        <x:v>6</x:v>
      </x:c>
      <x:c r="T156" s="64" t="str">
        <x:v>profit_profitAmount</x:v>
      </x:c>
    </x:row>
    <x:row r="157">
      <x:c r="A157" s="61" t="str">
        <x:v>003cf9cdf0d9b5534ec1df6a634e44c7</x:v>
      </x:c>
      <x:c r="B157" s="64" t="str">
        <x:v>B类：当前真实与预测均盈利，Top1增益超过当前预测误差</x:v>
      </x:c>
      <x:c r="C157" s="64" t="str">
        <x:v>很高（≥2.0倍）</x:v>
      </x:c>
      <x:c r="D157" s="49" t="n">
        <x:v>46261</x:v>
      </x:c>
      <x:c r="E157" s="61" t="str">
        <x:v>10000069</x:v>
      </x:c>
      <x:c r="F157" s="46" t="str">
        <x:v>腾讯汇聚P2P</x:v>
      </x:c>
      <x:c r="G157" s="52" t="n">
        <x:v>3.28</x:v>
      </x:c>
      <x:c r="H157" s="52" t="n">
        <x:v>53.951202</x:v>
      </x:c>
      <x:c r="I157" s="52" t="n">
        <x:f>ABS(G157-H157)</x:f>
        <x:v>50.671202</x:v>
      </x:c>
      <x:c r="J157" s="61" t="str">
        <x:v>10000183</x:v>
      </x:c>
      <x:c r="K157" s="46" t="str">
        <x:v>B站专线-盒子</x:v>
      </x:c>
      <x:c r="L157" s="52" t="n">
        <x:v>205.04176</x:v>
      </x:c>
      <x:c r="M157" s="52" t="n">
        <x:f>L157-H157</x:f>
        <x:v>151.09055800000002</x:v>
      </x:c>
      <x:c r="N157" s="55" t="n">
        <x:f>M157/MAX(I157,1)</x:f>
        <x:v>2.981783577977882</x:v>
      </x:c>
      <x:c r="O157" s="52" t="n">
        <x:v>48.5317</x:v>
      </x:c>
      <x:c r="P157" s="52" t="n">
        <x:v>66.318344</x:v>
      </x:c>
      <x:c r="Q157" s="52" t="n">
        <x:f>P157-O157</x:f>
        <x:v>17.786643999999995</x:v>
      </x:c>
      <x:c r="R157" s="58" t="n">
        <x:v>96</x:v>
      </x:c>
      <x:c r="S157" s="58" t="n">
        <x:v>7</x:v>
      </x:c>
      <x:c r="T157" s="64" t="str">
        <x:v>profit_profitAmount</x:v>
      </x:c>
    </x:row>
    <x:row r="158">
      <x:c r="A158" s="61" t="str">
        <x:v>d2161d34887f74dff7d15388e00dd7b7</x:v>
      </x:c>
      <x:c r="B158" s="64" t="str">
        <x:v>B类：当前真实与预测均盈利，Top1增益超过当前预测误差</x:v>
      </x:c>
      <x:c r="C158" s="64" t="str">
        <x:v>很高（≥2.0倍）</x:v>
      </x:c>
      <x:c r="D158" s="49" t="n">
        <x:v>46261</x:v>
      </x:c>
      <x:c r="E158" s="61" t="str">
        <x:v>1382680008</x:v>
      </x:c>
      <x:c r="F158" s="46" t="str">
        <x:v>字节CDN专线</x:v>
      </x:c>
      <x:c r="G158" s="52" t="n">
        <x:v>169.36</x:v>
      </x:c>
      <x:c r="H158" s="52" t="n">
        <x:v>145.42267</x:v>
      </x:c>
      <x:c r="I158" s="52" t="n">
        <x:f>ABS(G158-H158)</x:f>
        <x:v>23.937330000000003</x:v>
      </x:c>
      <x:c r="J158" s="61" t="str">
        <x:v>10000183</x:v>
      </x:c>
      <x:c r="K158" s="46" t="str">
        <x:v>B站专线-盒子</x:v>
      </x:c>
      <x:c r="L158" s="52" t="n">
        <x:v>216.09998</x:v>
      </x:c>
      <x:c r="M158" s="52" t="n">
        <x:f>L158-H158</x:f>
        <x:v>70.67730999999998</x:v>
      </x:c>
      <x:c r="N158" s="55" t="n">
        <x:f>M158/MAX(I158,1)</x:f>
        <x:v>2.952597887901448</x:v>
      </x:c>
      <x:c r="O158" s="52" t="n">
        <x:v>181.1865</x:v>
      </x:c>
      <x:c r="P158" s="52" t="n">
        <x:v>202.08897</x:v>
      </x:c>
      <x:c r="Q158" s="52" t="n">
        <x:f>P158-O158</x:f>
        <x:v>20.902469999999994</x:v>
      </x:c>
      <x:c r="R158" s="58" t="n">
        <x:v>96</x:v>
      </x:c>
      <x:c r="S158" s="58" t="n">
        <x:v>7</x:v>
      </x:c>
      <x:c r="T158" s="64" t="str">
        <x:v>profit_profitAmount</x:v>
      </x:c>
    </x:row>
    <x:row r="159">
      <x:c r="A159" s="61" t="str">
        <x:v>3ff15a6c535a38e44abe33ef5949207d</x:v>
      </x:c>
      <x:c r="B159" s="64" t="str">
        <x:v>B类：当前真实与预测均盈利，Top1增益超过当前预测误差</x:v>
      </x:c>
      <x:c r="C159" s="64" t="str">
        <x:v>很高（≥2.0倍）</x:v>
      </x:c>
      <x:c r="D159" s="49" t="n">
        <x:v>46261</x:v>
      </x:c>
      <x:c r="E159" s="61" t="str">
        <x:v>10000064</x:v>
      </x:c>
      <x:c r="F159" s="46" t="str">
        <x:v>百度小度</x:v>
      </x:c>
      <x:c r="G159" s="52" t="n">
        <x:v>2.13</x:v>
      </x:c>
      <x:c r="H159" s="52" t="n">
        <x:v>0</x:v>
      </x:c>
      <x:c r="I159" s="52" t="n">
        <x:f>ABS(G159-H159)</x:f>
        <x:v>2.13</x:v>
      </x:c>
      <x:c r="J159" s="61" t="str">
        <x:v>10000300</x:v>
      </x:c>
      <x:c r="K159" s="46" t="str">
        <x:v>B站-晚高峰21点</x:v>
      </x:c>
      <x:c r="L159" s="52" t="n">
        <x:v>6.163005</x:v>
      </x:c>
      <x:c r="M159" s="52" t="n">
        <x:f>L159-H159</x:f>
        <x:v>6.163005</x:v>
      </x:c>
      <x:c r="N159" s="55" t="n">
        <x:f>M159/MAX(I159,1)</x:f>
        <x:v>2.893429577464789</x:v>
      </x:c>
      <x:c r="O159" s="52" t="n">
        <x:v>-19.528204</x:v>
      </x:c>
      <x:c r="P159" s="52" t="n">
        <x:v>13.393845</x:v>
      </x:c>
      <x:c r="Q159" s="52" t="n">
        <x:f>P159-O159</x:f>
        <x:v>32.922049</x:v>
      </x:c>
      <x:c r="R159" s="58" t="n">
        <x:v>52</x:v>
      </x:c>
      <x:c r="S159" s="58" t="n">
        <x:v>7</x:v>
      </x:c>
      <x:c r="T159" s="64" t="str">
        <x:v>profit_profitAmount</x:v>
      </x:c>
    </x:row>
    <x:row r="160">
      <x:c r="A160" s="61" t="str">
        <x:v>e6778e7fcbf63678c240be2bf1383cd9</x:v>
      </x:c>
      <x:c r="B160" s="64" t="str">
        <x:v>B类：当前真实与预测均盈利，Top1增益超过当前预测误差</x:v>
      </x:c>
      <x:c r="C160" s="64" t="str">
        <x:v>很高（≥2.0倍）</x:v>
      </x:c>
      <x:c r="D160" s="49" t="n">
        <x:v>46259</x:v>
      </x:c>
      <x:c r="E160" s="61" t="str">
        <x:v>10000064</x:v>
      </x:c>
      <x:c r="F160" s="46" t="str">
        <x:v>百度小度</x:v>
      </x:c>
      <x:c r="G160" s="52" t="n">
        <x:v>64.01</x:v>
      </x:c>
      <x:c r="H160" s="52" t="n">
        <x:v>10.820694</x:v>
      </x:c>
      <x:c r="I160" s="52" t="n">
        <x:f>ABS(G160-H160)</x:f>
        <x:v>53.189306</x:v>
      </x:c>
      <x:c r="J160" s="61" t="str">
        <x:v>10000183</x:v>
      </x:c>
      <x:c r="K160" s="46" t="str">
        <x:v>B站专线-盒子</x:v>
      </x:c>
      <x:c r="L160" s="52" t="n">
        <x:v>162.9577</x:v>
      </x:c>
      <x:c r="M160" s="52" t="n">
        <x:f>L160-H160</x:f>
        <x:v>152.13700599999999</x:v>
      </x:c>
      <x:c r="N160" s="55" t="n">
        <x:f>M160/MAX(I160,1)</x:f>
        <x:v>2.860293119823748</x:v>
      </x:c>
      <x:c r="O160" s="52" t="n">
        <x:v>8.707623</x:v>
      </x:c>
      <x:c r="P160" s="52" t="n">
        <x:v>134.81499</x:v>
      </x:c>
      <x:c r="Q160" s="52" t="n">
        <x:f>P160-O160</x:f>
        <x:v>126.107367</x:v>
      </x:c>
      <x:c r="R160" s="58" t="n">
        <x:v>96</x:v>
      </x:c>
      <x:c r="S160" s="58" t="n">
        <x:v>5</x:v>
      </x:c>
      <x:c r="T160" s="64" t="str">
        <x:v>profit_profitAmount</x:v>
      </x:c>
    </x:row>
    <x:row r="161">
      <x:c r="A161" s="61" t="str">
        <x:v>5b4d39e94dfd08e224e0668b52638a72</x:v>
      </x:c>
      <x:c r="B161" s="64" t="str">
        <x:v>B类：当前真实与预测均盈利，Top1增益超过当前预测误差</x:v>
      </x:c>
      <x:c r="C161" s="64" t="str">
        <x:v>很高（≥2.0倍）</x:v>
      </x:c>
      <x:c r="D161" s="49" t="n">
        <x:v>46258</x:v>
      </x:c>
      <x:c r="E161" s="61" t="str">
        <x:v>10000304</x:v>
      </x:c>
      <x:c r="F161" s="46" t="str">
        <x:v>快手严选</x:v>
      </x:c>
      <x:c r="G161" s="52" t="n">
        <x:v>25.59</x:v>
      </x:c>
      <x:c r="H161" s="52" t="n">
        <x:v>57.61367</x:v>
      </x:c>
      <x:c r="I161" s="52" t="n">
        <x:f>ABS(G161-H161)</x:f>
        <x:v>32.023669999999996</x:v>
      </x:c>
      <x:c r="J161" s="61" t="str">
        <x:v>10000183</x:v>
      </x:c>
      <x:c r="K161" s="46" t="str">
        <x:v>B站专线-盒子</x:v>
      </x:c>
      <x:c r="L161" s="52" t="n">
        <x:v>148.94815</x:v>
      </x:c>
      <x:c r="M161" s="52" t="n">
        <x:f>L161-H161</x:f>
        <x:v>91.33448</x:v>
      </x:c>
      <x:c r="N161" s="55" t="n">
        <x:f>M161/MAX(I161,1)</x:f>
        <x:v>2.852092842575508</x:v>
      </x:c>
      <x:c r="O161" s="52" t="n">
        <x:v>31.66133</x:v>
      </x:c>
      <x:c r="P161" s="52" t="n">
        <x:v>106.22865</x:v>
      </x:c>
      <x:c r="Q161" s="52" t="n">
        <x:f>P161-O161</x:f>
        <x:v>74.56732</x:v>
      </x:c>
      <x:c r="R161" s="58" t="n">
        <x:v>96</x:v>
      </x:c>
      <x:c r="S161" s="58" t="n">
        <x:v>4</x:v>
      </x:c>
      <x:c r="T161" s="64" t="str">
        <x:v>profit_profitAmount</x:v>
      </x:c>
    </x:row>
    <x:row r="162">
      <x:c r="A162" s="61" t="str">
        <x:v>194b98005dd9ebb990aceffec0f622d7</x:v>
      </x:c>
      <x:c r="B162" s="64" t="str">
        <x:v>B类：当前真实与预测均盈利，Top1增益超过当前预测误差</x:v>
      </x:c>
      <x:c r="C162" s="64" t="str">
        <x:v>很高（≥2.0倍）</x:v>
      </x:c>
      <x:c r="D162" s="49" t="n">
        <x:v>46261</x:v>
      </x:c>
      <x:c r="E162" s="61" t="str">
        <x:v>10000291</x:v>
      </x:c>
      <x:c r="F162" s="46"/>
      <x:c r="G162" s="52" t="n">
        <x:v>31.16</x:v>
      </x:c>
      <x:c r="H162" s="52" t="n">
        <x:v>2.94034</x:v>
      </x:c>
      <x:c r="I162" s="52" t="n">
        <x:f>ABS(G162-H162)</x:f>
        <x:v>28.21966</x:v>
      </x:c>
      <x:c r="J162" s="61" t="str">
        <x:v>10000183</x:v>
      </x:c>
      <x:c r="K162" s="46" t="str">
        <x:v>B站专线-盒子</x:v>
      </x:c>
      <x:c r="L162" s="52" t="n">
        <x:v>83.305756</x:v>
      </x:c>
      <x:c r="M162" s="52" t="n">
        <x:f>L162-H162</x:f>
        <x:v>80.365416</x:v>
      </x:c>
      <x:c r="N162" s="55" t="n">
        <x:f>M162/MAX(I162,1)</x:f>
        <x:v>2.847852029400779</x:v>
      </x:c>
      <x:c r="O162" s="52" t="n">
        <x:v>15.5698</x:v>
      </x:c>
      <x:c r="P162" s="52" t="n">
        <x:v>75.09742</x:v>
      </x:c>
      <x:c r="Q162" s="52" t="n">
        <x:f>P162-O162</x:f>
        <x:v>59.52762</x:v>
      </x:c>
      <x:c r="R162" s="58" t="n">
        <x:v>96</x:v>
      </x:c>
      <x:c r="S162" s="58" t="n">
        <x:v>7</x:v>
      </x:c>
      <x:c r="T162" s="64" t="str">
        <x:v>profit_profitAmount</x:v>
      </x:c>
    </x:row>
    <x:row r="163">
      <x:c r="A163" s="61" t="str">
        <x:v>120a15808ca3bd895a3a84b11fcb1f1a</x:v>
      </x:c>
      <x:c r="B163" s="64" t="str">
        <x:v>B类：当前真实与预测均盈利，Top1增益超过当前预测误差</x:v>
      </x:c>
      <x:c r="C163" s="64" t="str">
        <x:v>很高（≥2.0倍）</x:v>
      </x:c>
      <x:c r="D163" s="49" t="n">
        <x:v>46259</x:v>
      </x:c>
      <x:c r="E163" s="61" t="str">
        <x:v>10000064</x:v>
      </x:c>
      <x:c r="F163" s="46" t="str">
        <x:v>百度小度</x:v>
      </x:c>
      <x:c r="G163" s="52" t="n">
        <x:v>51.4</x:v>
      </x:c>
      <x:c r="H163" s="52" t="n">
        <x:v>7.339447</x:v>
      </x:c>
      <x:c r="I163" s="52" t="n">
        <x:f>ABS(G163-H163)</x:f>
        <x:v>44.060553</x:v>
      </x:c>
      <x:c r="J163" s="61" t="str">
        <x:v>10000183</x:v>
      </x:c>
      <x:c r="K163" s="46" t="str">
        <x:v>B站专线-盒子</x:v>
      </x:c>
      <x:c r="L163" s="52" t="n">
        <x:v>131.57014</x:v>
      </x:c>
      <x:c r="M163" s="52" t="n">
        <x:f>L163-H163</x:f>
        <x:v>124.230693</x:v>
      </x:c>
      <x:c r="N163" s="55" t="n">
        <x:f>M163/MAX(I163,1)</x:f>
        <x:v>2.8195445708545694</x:v>
      </x:c>
      <x:c r="O163" s="52" t="n">
        <x:v>22.50435</x:v>
      </x:c>
      <x:c r="P163" s="52" t="n">
        <x:v>129.95956</x:v>
      </x:c>
      <x:c r="Q163" s="52" t="n">
        <x:f>P163-O163</x:f>
        <x:v>107.45521000000001</x:v>
      </x:c>
      <x:c r="R163" s="58" t="n">
        <x:v>96</x:v>
      </x:c>
      <x:c r="S163" s="58" t="n">
        <x:v>5</x:v>
      </x:c>
      <x:c r="T163" s="64" t="str">
        <x:v>profit_profitAmount</x:v>
      </x:c>
    </x:row>
    <x:row r="164">
      <x:c r="A164" s="61" t="str">
        <x:v>00bed4ddd322ec71b7287619e8126b69</x:v>
      </x:c>
      <x:c r="B164" s="64" t="str">
        <x:v>B类：当前真实与预测均盈利，Top1增益超过当前预测误差</x:v>
      </x:c>
      <x:c r="C164" s="64" t="str">
        <x:v>很高（≥2.0倍）</x:v>
      </x:c>
      <x:c r="D164" s="49" t="n">
        <x:v>46261</x:v>
      </x:c>
      <x:c r="E164" s="61" t="str">
        <x:v>10000291</x:v>
      </x:c>
      <x:c r="F164" s="46"/>
      <x:c r="G164" s="52" t="n">
        <x:v>47.76</x:v>
      </x:c>
      <x:c r="H164" s="52" t="n">
        <x:v>12.8377</x:v>
      </x:c>
      <x:c r="I164" s="52" t="n">
        <x:f>ABS(G164-H164)</x:f>
        <x:v>34.9223</x:v>
      </x:c>
      <x:c r="J164" s="61" t="str">
        <x:v>10000183</x:v>
      </x:c>
      <x:c r="K164" s="46" t="str">
        <x:v>B站专线-盒子</x:v>
      </x:c>
      <x:c r="L164" s="52" t="n">
        <x:v>111.149796</x:v>
      </x:c>
      <x:c r="M164" s="52" t="n">
        <x:f>L164-H164</x:f>
        <x:v>98.312096</x:v>
      </x:c>
      <x:c r="N164" s="55" t="n">
        <x:f>M164/MAX(I164,1)</x:f>
        <x:v>2.8151666986424146</x:v>
      </x:c>
      <x:c r="O164" s="52" t="n">
        <x:v>2.8204474</x:v>
      </x:c>
      <x:c r="P164" s="52" t="n">
        <x:v>80.93899</x:v>
      </x:c>
      <x:c r="Q164" s="52" t="n">
        <x:f>P164-O164</x:f>
        <x:v>78.1185426</x:v>
      </x:c>
      <x:c r="R164" s="58" t="n">
        <x:v>96</x:v>
      </x:c>
      <x:c r="S164" s="58" t="n">
        <x:v>7</x:v>
      </x:c>
      <x:c r="T164" s="64" t="str">
        <x:v>profit_profitAmount</x:v>
      </x:c>
    </x:row>
    <x:row r="165">
      <x:c r="A165" s="61" t="str">
        <x:v>7534f5a98c19baa58488a9701398463f</x:v>
      </x:c>
      <x:c r="B165" s="64" t="str">
        <x:v>B类：当前真实与预测均盈利，Top1增益超过当前预测误差</x:v>
      </x:c>
      <x:c r="C165" s="64" t="str">
        <x:v>很高（≥2.0倍）</x:v>
      </x:c>
      <x:c r="D165" s="49" t="n">
        <x:v>46261</x:v>
      </x:c>
      <x:c r="E165" s="61" t="str">
        <x:v>10000292</x:v>
      </x:c>
      <x:c r="F165" s="46"/>
      <x:c r="G165" s="52" t="n">
        <x:v>27.13</x:v>
      </x:c>
      <x:c r="H165" s="52" t="n">
        <x:v>4.6496086</x:v>
      </x:c>
      <x:c r="I165" s="52" t="n">
        <x:f>ABS(G165-H165)</x:f>
        <x:v>22.4803914</x:v>
      </x:c>
      <x:c r="J165" s="61" t="str">
        <x:v>10000183</x:v>
      </x:c>
      <x:c r="K165" s="46" t="str">
        <x:v>B站专线-盒子</x:v>
      </x:c>
      <x:c r="L165" s="52" t="n">
        <x:v>66.68347</x:v>
      </x:c>
      <x:c r="M165" s="52" t="n">
        <x:f>L165-H165</x:f>
        <x:v>62.0338614</x:v>
      </x:c>
      <x:c r="N165" s="55" t="n">
        <x:f>M165/MAX(I165,1)</x:f>
        <x:v>2.7594653623335046</x:v>
      </x:c>
      <x:c r="O165" s="52" t="n">
        <x:v>13.826784</x:v>
      </x:c>
      <x:c r="P165" s="52" t="n">
        <x:v>29.642025</x:v>
      </x:c>
      <x:c r="Q165" s="52" t="n">
        <x:f>P165-O165</x:f>
        <x:v>15.815241</x:v>
      </x:c>
      <x:c r="R165" s="58" t="n">
        <x:v>96</x:v>
      </x:c>
      <x:c r="S165" s="58" t="n">
        <x:v>7</x:v>
      </x:c>
      <x:c r="T165" s="64" t="str">
        <x:v>profit_profitAmount</x:v>
      </x:c>
    </x:row>
    <x:row r="166">
      <x:c r="A166" s="61" t="str">
        <x:v>a7f1e892606ef8bb73fd644659e5eca5</x:v>
      </x:c>
      <x:c r="B166" s="64" t="str">
        <x:v>B类：当前真实与预测均盈利，Top1增益超过当前预测误差</x:v>
      </x:c>
      <x:c r="C166" s="64" t="str">
        <x:v>很高（≥2.0倍）</x:v>
      </x:c>
      <x:c r="D166" s="49" t="n">
        <x:v>46261</x:v>
      </x:c>
      <x:c r="E166" s="61" t="str">
        <x:v>10000244</x:v>
      </x:c>
      <x:c r="F166" s="46" t="str">
        <x:v>B站专线-盒子V2</x:v>
      </x:c>
      <x:c r="G166" s="52" t="n">
        <x:v>14.01</x:v>
      </x:c>
      <x:c r="H166" s="52" t="n">
        <x:v>9.273989</x:v>
      </x:c>
      <x:c r="I166" s="52" t="n">
        <x:f>ABS(G166-H166)</x:f>
        <x:v>4.7360109999999995</x:v>
      </x:c>
      <x:c r="J166" s="61" t="str">
        <x:v>1382490022</x:v>
      </x:c>
      <x:c r="K166" s="46" t="str">
        <x:v>快手盒子</x:v>
      </x:c>
      <x:c r="L166" s="52" t="n">
        <x:v>22.218346</x:v>
      </x:c>
      <x:c r="M166" s="52" t="n">
        <x:f>L166-H166</x:f>
        <x:v>12.944357</x:v>
      </x:c>
      <x:c r="N166" s="55" t="n">
        <x:f>M166/MAX(I166,1)</x:f>
        <x:v>2.73317714000242</x:v>
      </x:c>
      <x:c r="O166" s="52" t="n">
        <x:v>9.207607</x:v>
      </x:c>
      <x:c r="P166" s="52" t="n">
        <x:v>21.28034</x:v>
      </x:c>
      <x:c r="Q166" s="52" t="n">
        <x:f>P166-O166</x:f>
        <x:v>12.072733</x:v>
      </x:c>
      <x:c r="R166" s="58" t="n">
        <x:v>76</x:v>
      </x:c>
      <x:c r="S166" s="58" t="n">
        <x:v>7</x:v>
      </x:c>
      <x:c r="T166" s="64" t="str">
        <x:v>profit_profitAmount</x:v>
      </x:c>
    </x:row>
    <x:row r="167">
      <x:c r="A167" s="61" t="str">
        <x:v>6393482d9b63c3b384a48abbee6f566b</x:v>
      </x:c>
      <x:c r="B167" s="64" t="str">
        <x:v>B类：当前真实与预测均盈利，Top1增益超过当前预测误差</x:v>
      </x:c>
      <x:c r="C167" s="64" t="str">
        <x:v>很高（≥2.0倍）</x:v>
      </x:c>
      <x:c r="D167" s="49" t="n">
        <x:v>46257</x:v>
      </x:c>
      <x:c r="E167" s="61" t="str">
        <x:v>10000064</x:v>
      </x:c>
      <x:c r="F167" s="46" t="str">
        <x:v>百度小度</x:v>
      </x:c>
      <x:c r="G167" s="52" t="n">
        <x:v>19.01</x:v>
      </x:c>
      <x:c r="H167" s="52" t="n">
        <x:v>7.6970634</x:v>
      </x:c>
      <x:c r="I167" s="52" t="n">
        <x:f>ABS(G167-H167)</x:f>
        <x:v>11.3129366</x:v>
      </x:c>
      <x:c r="J167" s="61" t="str">
        <x:v>10000183</x:v>
      </x:c>
      <x:c r="K167" s="46" t="str">
        <x:v>B站专线-盒子</x:v>
      </x:c>
      <x:c r="L167" s="52" t="n">
        <x:v>38.59108</x:v>
      </x:c>
      <x:c r="M167" s="52" t="n">
        <x:f>L167-H167</x:f>
        <x:v>30.894016599999997</x:v>
      </x:c>
      <x:c r="N167" s="55" t="n">
        <x:f>M167/MAX(I167,1)</x:f>
        <x:v>2.730857397362237</x:v>
      </x:c>
      <x:c r="O167" s="52" t="n">
        <x:v>2.962772</x:v>
      </x:c>
      <x:c r="P167" s="52" t="n">
        <x:v>53.68822</x:v>
      </x:c>
      <x:c r="Q167" s="52" t="n">
        <x:f>P167-O167</x:f>
        <x:v>50.725448</x:v>
      </x:c>
      <x:c r="R167" s="58" t="n">
        <x:v>96</x:v>
      </x:c>
      <x:c r="S167" s="58" t="n">
        <x:v>3</x:v>
      </x:c>
      <x:c r="T167" s="64" t="str">
        <x:v>profit_profitAmount</x:v>
      </x:c>
    </x:row>
    <x:row r="168">
      <x:c r="A168" s="61" t="str">
        <x:v>81a15409939cebb77d658fb43f2034ac</x:v>
      </x:c>
      <x:c r="B168" s="64" t="str">
        <x:v>B类：当前真实与预测均盈利，Top1增益超过当前预测误差</x:v>
      </x:c>
      <x:c r="C168" s="64" t="str">
        <x:v>很高（≥2.0倍）</x:v>
      </x:c>
      <x:c r="D168" s="49" t="n">
        <x:v>46261</x:v>
      </x:c>
      <x:c r="E168" s="61" t="str">
        <x:v>10000292</x:v>
      </x:c>
      <x:c r="F168" s="46"/>
      <x:c r="G168" s="52" t="n">
        <x:v>9.4</x:v>
      </x:c>
      <x:c r="H168" s="52" t="n">
        <x:v>5.5968704</x:v>
      </x:c>
      <x:c r="I168" s="52" t="n">
        <x:f>ABS(G168-H168)</x:f>
        <x:v>3.8031296</x:v>
      </x:c>
      <x:c r="J168" s="61" t="str">
        <x:v>1382490022</x:v>
      </x:c>
      <x:c r="K168" s="46" t="str">
        <x:v>快手盒子</x:v>
      </x:c>
      <x:c r="L168" s="52" t="n">
        <x:v>15.945683</x:v>
      </x:c>
      <x:c r="M168" s="52" t="n">
        <x:f>L168-H168</x:f>
        <x:v>10.3488126</x:v>
      </x:c>
      <x:c r="N168" s="55" t="n">
        <x:f>M168/MAX(I168,1)</x:f>
        <x:v>2.7211306709085066</x:v>
      </x:c>
      <x:c r="O168" s="52" t="n">
        <x:v>2.465918</x:v>
      </x:c>
      <x:c r="P168" s="52" t="n">
        <x:v>24.29308</x:v>
      </x:c>
      <x:c r="Q168" s="52" t="n">
        <x:f>P168-O168</x:f>
        <x:v>21.827162</x:v>
      </x:c>
      <x:c r="R168" s="58" t="n">
        <x:v>76</x:v>
      </x:c>
      <x:c r="S168" s="58" t="n">
        <x:v>7</x:v>
      </x:c>
      <x:c r="T168" s="64" t="str">
        <x:v>profit_profitAmount</x:v>
      </x:c>
    </x:row>
    <x:row r="169">
      <x:c r="A169" s="61" t="str">
        <x:v>4b24c5b6f6d240edb8753af14d322221</x:v>
      </x:c>
      <x:c r="B169" s="64" t="str">
        <x:v>B类：当前真实与预测均盈利，Top1增益超过当前预测误差</x:v>
      </x:c>
      <x:c r="C169" s="64" t="str">
        <x:v>很高（≥2.0倍）</x:v>
      </x:c>
      <x:c r="D169" s="49" t="n">
        <x:v>46261</x:v>
      </x:c>
      <x:c r="E169" s="61" t="str">
        <x:v>10000064</x:v>
      </x:c>
      <x:c r="F169" s="46" t="str">
        <x:v>百度小度</x:v>
      </x:c>
      <x:c r="G169" s="52" t="n">
        <x:v>3.04</x:v>
      </x:c>
      <x:c r="H169" s="52" t="n">
        <x:v>0</x:v>
      </x:c>
      <x:c r="I169" s="52" t="n">
        <x:f>ABS(G169-H169)</x:f>
        <x:v>3.04</x:v>
      </x:c>
      <x:c r="J169" s="61" t="str">
        <x:v>10000304</x:v>
      </x:c>
      <x:c r="K169" s="46" t="str">
        <x:v>快手严选</x:v>
      </x:c>
      <x:c r="L169" s="52" t="n">
        <x:v>8.112386</x:v>
      </x:c>
      <x:c r="M169" s="52" t="n">
        <x:f>L169-H169</x:f>
        <x:v>8.112386</x:v>
      </x:c>
      <x:c r="N169" s="55" t="n">
        <x:f>M169/MAX(I169,1)</x:f>
        <x:v>2.66854802631579</x:v>
      </x:c>
      <x:c r="O169" s="52" t="n">
        <x:v>-19.117653</x:v>
      </x:c>
      <x:c r="P169" s="52" t="n">
        <x:v>17.00822</x:v>
      </x:c>
      <x:c r="Q169" s="52" t="n">
        <x:f>P169-O169</x:f>
        <x:v>36.125873</x:v>
      </x:c>
      <x:c r="R169" s="58" t="n">
        <x:v>393</x:v>
      </x:c>
      <x:c r="S169" s="58" t="n">
        <x:v>7</x:v>
      </x:c>
      <x:c r="T169" s="64" t="str">
        <x:v>profit_profitAmount</x:v>
      </x:c>
    </x:row>
    <x:row r="170">
      <x:c r="A170" s="61" t="str">
        <x:v>2d26b536dfbec108b89b72fb9431a8a7</x:v>
      </x:c>
      <x:c r="B170" s="64" t="str">
        <x:v>B类：当前真实与预测均盈利，Top1增益超过当前预测误差</x:v>
      </x:c>
      <x:c r="C170" s="64" t="str">
        <x:v>很高（≥2.0倍）</x:v>
      </x:c>
      <x:c r="D170" s="49" t="n">
        <x:v>46261</x:v>
      </x:c>
      <x:c r="E170" s="61" t="str">
        <x:v>10000064</x:v>
      </x:c>
      <x:c r="F170" s="46" t="str">
        <x:v>百度小度</x:v>
      </x:c>
      <x:c r="G170" s="52" t="n">
        <x:v>82.47</x:v>
      </x:c>
      <x:c r="H170" s="52" t="n">
        <x:v>31.33258</x:v>
      </x:c>
      <x:c r="I170" s="52" t="n">
        <x:f>ABS(G170-H170)</x:f>
        <x:v>51.13742</x:v>
      </x:c>
      <x:c r="J170" s="61" t="str">
        <x:v>10000183</x:v>
      </x:c>
      <x:c r="K170" s="46" t="str">
        <x:v>B站专线-盒子</x:v>
      </x:c>
      <x:c r="L170" s="52" t="n">
        <x:v>167.77518</x:v>
      </x:c>
      <x:c r="M170" s="52" t="n">
        <x:f>L170-H170</x:f>
        <x:v>136.4426</x:v>
      </x:c>
      <x:c r="N170" s="55" t="n">
        <x:f>M170/MAX(I170,1)</x:f>
        <x:v>2.6681557262763747</x:v>
      </x:c>
      <x:c r="O170" s="52" t="n">
        <x:v>19.842886</x:v>
      </x:c>
      <x:c r="P170" s="52" t="n">
        <x:v>75.378365</x:v>
      </x:c>
      <x:c r="Q170" s="52" t="n">
        <x:f>P170-O170</x:f>
        <x:v>55.535479</x:v>
      </x:c>
      <x:c r="R170" s="58" t="n">
        <x:v>96</x:v>
      </x:c>
      <x:c r="S170" s="58" t="n">
        <x:v>7</x:v>
      </x:c>
      <x:c r="T170" s="64" t="str">
        <x:v>profit_profitAmount</x:v>
      </x:c>
    </x:row>
    <x:row r="171">
      <x:c r="A171" s="61" t="str">
        <x:v>d85a97c2fbdf888946c1424ef916b297</x:v>
      </x:c>
      <x:c r="B171" s="64" t="str">
        <x:v>B类：当前真实与预测均盈利，Top1增益超过当前预测误差</x:v>
      </x:c>
      <x:c r="C171" s="64" t="str">
        <x:v>很高（≥2.0倍）</x:v>
      </x:c>
      <x:c r="D171" s="49" t="n">
        <x:v>46261</x:v>
      </x:c>
      <x:c r="E171" s="61" t="str">
        <x:v>10000291</x:v>
      </x:c>
      <x:c r="F171" s="46"/>
      <x:c r="G171" s="52" t="n">
        <x:v>25.59</x:v>
      </x:c>
      <x:c r="H171" s="52" t="n">
        <x:v>5.441017</x:v>
      </x:c>
      <x:c r="I171" s="52" t="n">
        <x:f>ABS(G171-H171)</x:f>
        <x:v>20.148983</x:v>
      </x:c>
      <x:c r="J171" s="61" t="str">
        <x:v>10000183</x:v>
      </x:c>
      <x:c r="K171" s="46" t="str">
        <x:v>B站专线-盒子</x:v>
      </x:c>
      <x:c r="L171" s="52" t="n">
        <x:v>59.033527</x:v>
      </x:c>
      <x:c r="M171" s="52" t="n">
        <x:f>L171-H171</x:f>
        <x:v>53.59251</x:v>
      </x:c>
      <x:c r="N171" s="55" t="n">
        <x:f>M171/MAX(I171,1)</x:f>
        <x:v>2.6598121602464997</x:v>
      </x:c>
      <x:c r="O171" s="52" t="n">
        <x:v>6.4142113</x:v>
      </x:c>
      <x:c r="P171" s="52" t="n">
        <x:v>49.69538</x:v>
      </x:c>
      <x:c r="Q171" s="52" t="n">
        <x:f>P171-O171</x:f>
        <x:v>43.2811687</x:v>
      </x:c>
      <x:c r="R171" s="58" t="n">
        <x:v>96</x:v>
      </x:c>
      <x:c r="S171" s="58" t="n">
        <x:v>7</x:v>
      </x:c>
      <x:c r="T171" s="64" t="str">
        <x:v>profit_profitAmount</x:v>
      </x:c>
    </x:row>
    <x:row r="172">
      <x:c r="A172" s="61" t="str">
        <x:v>721d0b191829889e7583ccfa69936e8f</x:v>
      </x:c>
      <x:c r="B172" s="64" t="str">
        <x:v>B类：当前真实与预测均盈利，Top1增益超过当前预测误差</x:v>
      </x:c>
      <x:c r="C172" s="64" t="str">
        <x:v>很高（≥2.0倍）</x:v>
      </x:c>
      <x:c r="D172" s="49" t="n">
        <x:v>46261</x:v>
      </x:c>
      <x:c r="E172" s="61" t="str">
        <x:v>1380317970</x:v>
      </x:c>
      <x:c r="F172" s="46" t="str">
        <x:v>快手点播</x:v>
      </x:c>
      <x:c r="G172" s="52" t="n">
        <x:v>114.69</x:v>
      </x:c>
      <x:c r="H172" s="52" t="n">
        <x:v>141.40167</x:v>
      </x:c>
      <x:c r="I172" s="52" t="n">
        <x:f>ABS(G172-H172)</x:f>
        <x:v>26.711669999999998</x:v>
      </x:c>
      <x:c r="J172" s="61" t="str">
        <x:v>10000312</x:v>
      </x:c>
      <x:c r="K172" s="46" t="str">
        <x:v>金山云闲时</x:v>
      </x:c>
      <x:c r="L172" s="52" t="n">
        <x:v>211.12096</x:v>
      </x:c>
      <x:c r="M172" s="52" t="n">
        <x:f>L172-H172</x:f>
        <x:v>69.71929</x:v>
      </x:c>
      <x:c r="N172" s="55" t="n">
        <x:f>M172/MAX(I172,1)</x:f>
        <x:v>2.6100685580497216</x:v>
      </x:c>
      <x:c r="O172" s="52" t="n">
        <x:v>159.12817</x:v>
      </x:c>
      <x:c r="P172" s="52" t="n">
        <x:v>241.31616</x:v>
      </x:c>
      <x:c r="Q172" s="52" t="n">
        <x:f>P172-O172</x:f>
        <x:v>82.18798999999999</x:v>
      </x:c>
      <x:c r="R172" s="58" t="n">
        <x:v>22</x:v>
      </x:c>
      <x:c r="S172" s="58" t="n">
        <x:v>3</x:v>
      </x:c>
      <x:c r="T172" s="64" t="str">
        <x:v>profit_profitAmount</x:v>
      </x:c>
    </x:row>
    <x:row r="173">
      <x:c r="A173" s="61" t="str">
        <x:v>5d1019293c9693670353bc51042b9f67</x:v>
      </x:c>
      <x:c r="B173" s="64" t="str">
        <x:v>B类：当前真实与预测均盈利，Top1增益超过当前预测误差</x:v>
      </x:c>
      <x:c r="C173" s="64" t="str">
        <x:v>很高（≥2.0倍）</x:v>
      </x:c>
      <x:c r="D173" s="49" t="n">
        <x:v>46259</x:v>
      </x:c>
      <x:c r="E173" s="61" t="str">
        <x:v>10000139</x:v>
      </x:c>
      <x:c r="F173" s="46" t="str">
        <x:v>百度小度盒子</x:v>
      </x:c>
      <x:c r="G173" s="52" t="n">
        <x:v>0.03</x:v>
      </x:c>
      <x:c r="H173" s="52" t="n">
        <x:v>0</x:v>
      </x:c>
      <x:c r="I173" s="52" t="n">
        <x:f>ABS(G173-H173)</x:f>
        <x:v>0.03</x:v>
      </x:c>
      <x:c r="J173" s="61" t="str">
        <x:v>1382490022</x:v>
      </x:c>
      <x:c r="K173" s="46" t="str">
        <x:v>快手盒子</x:v>
      </x:c>
      <x:c r="L173" s="52" t="n">
        <x:v>2.6064143</x:v>
      </x:c>
      <x:c r="M173" s="52" t="n">
        <x:f>L173-H173</x:f>
        <x:v>2.6064143</x:v>
      </x:c>
      <x:c r="N173" s="55" t="n">
        <x:f>M173/MAX(I173,1)</x:f>
        <x:v>2.6064143</x:v>
      </x:c>
      <x:c r="O173" s="52" t="n">
        <x:v>0.51154566</x:v>
      </x:c>
      <x:c r="P173" s="52" t="n">
        <x:v>20.535454</x:v>
      </x:c>
      <x:c r="Q173" s="52" t="n">
        <x:f>P173-O173</x:f>
        <x:v>20.023908340000002</x:v>
      </x:c>
      <x:c r="R173" s="58" t="n">
        <x:v>76</x:v>
      </x:c>
      <x:c r="S173" s="58" t="n">
        <x:v>4</x:v>
      </x:c>
      <x:c r="T173" s="64" t="str">
        <x:v>profit_profitAmount</x:v>
      </x:c>
    </x:row>
    <x:row r="174">
      <x:c r="A174" s="61" t="str">
        <x:v>677464af903a56c6d934c361391ffed6</x:v>
      </x:c>
      <x:c r="B174" s="64" t="str">
        <x:v>B类：当前真实与预测均盈利，Top1增益超过当前预测误差</x:v>
      </x:c>
      <x:c r="C174" s="64" t="str">
        <x:v>很高（≥2.0倍）</x:v>
      </x:c>
      <x:c r="D174" s="49" t="n">
        <x:v>46261</x:v>
      </x:c>
      <x:c r="E174" s="61" t="str">
        <x:v>10000079</x:v>
      </x:c>
      <x:c r="F174" s="46" t="str">
        <x:v>字节架构汇聚V2</x:v>
      </x:c>
      <x:c r="G174" s="52" t="n">
        <x:v>9.89</x:v>
      </x:c>
      <x:c r="H174" s="52" t="n">
        <x:v>6.060013</x:v>
      </x:c>
      <x:c r="I174" s="52" t="n">
        <x:f>ABS(G174-H174)</x:f>
        <x:v>3.829987000000001</x:v>
      </x:c>
      <x:c r="J174" s="61" t="str">
        <x:v>10000197</x:v>
      </x:c>
      <x:c r="K174" s="46" t="str">
        <x:v>天翼云V2</x:v>
      </x:c>
      <x:c r="L174" s="52" t="n">
        <x:v>15.68713</x:v>
      </x:c>
      <x:c r="M174" s="52" t="n">
        <x:f>L174-H174</x:f>
        <x:v>9.627117</x:v>
      </x:c>
      <x:c r="N174" s="55" t="n">
        <x:f>M174/MAX(I174,1)</x:f>
        <x:v>2.5136161036577924</x:v>
      </x:c>
      <x:c r="O174" s="52" t="n">
        <x:v>-3.0767717</x:v>
      </x:c>
      <x:c r="P174" s="52" t="n">
        <x:v>15.038058</x:v>
      </x:c>
      <x:c r="Q174" s="52" t="n">
        <x:f>P174-O174</x:f>
        <x:v>18.1148297</x:v>
      </x:c>
      <x:c r="R174" s="58" t="n">
        <x:v>9</x:v>
      </x:c>
      <x:c r="S174" s="58" t="n">
        <x:v>7</x:v>
      </x:c>
      <x:c r="T174" s="64" t="str">
        <x:v>profit_profitAmount</x:v>
      </x:c>
    </x:row>
    <x:row r="175">
      <x:c r="A175" s="61" t="str">
        <x:v>3d2b4de7facce6be0a4881a5de7d9a32</x:v>
      </x:c>
      <x:c r="B175" s="64" t="str">
        <x:v>B类：当前真实与预测均盈利，Top1增益超过当前预测误差</x:v>
      </x:c>
      <x:c r="C175" s="64" t="str">
        <x:v>很高（≥2.0倍）</x:v>
      </x:c>
      <x:c r="D175" s="49" t="n">
        <x:v>46261</x:v>
      </x:c>
      <x:c r="E175" s="61" t="str">
        <x:v>10000304</x:v>
      </x:c>
      <x:c r="F175" s="46" t="str">
        <x:v>快手严选</x:v>
      </x:c>
      <x:c r="G175" s="52" t="n">
        <x:v>50.58</x:v>
      </x:c>
      <x:c r="H175" s="52" t="n">
        <x:v>28.293564</x:v>
      </x:c>
      <x:c r="I175" s="52" t="n">
        <x:f>ABS(G175-H175)</x:f>
        <x:v>22.286436</x:v>
      </x:c>
      <x:c r="J175" s="61" t="str">
        <x:v>10000183</x:v>
      </x:c>
      <x:c r="K175" s="46" t="str">
        <x:v>B站专线-盒子</x:v>
      </x:c>
      <x:c r="L175" s="52" t="n">
        <x:v>84.23151</x:v>
      </x:c>
      <x:c r="M175" s="52" t="n">
        <x:f>L175-H175</x:f>
        <x:v>55.937946</x:v>
      </x:c>
      <x:c r="N175" s="55" t="n">
        <x:f>M175/MAX(I175,1)</x:f>
        <x:v>2.50995475454218</x:v>
      </x:c>
      <x:c r="O175" s="52" t="n">
        <x:v>36.282673</x:v>
      </x:c>
      <x:c r="P175" s="52" t="n">
        <x:v>48.999905</x:v>
      </x:c>
      <x:c r="Q175" s="52" t="n">
        <x:f>P175-O175</x:f>
        <x:v>12.717231999999996</x:v>
      </x:c>
      <x:c r="R175" s="58" t="n">
        <x:v>96</x:v>
      </x:c>
      <x:c r="S175" s="58" t="n">
        <x:v>7</x:v>
      </x:c>
      <x:c r="T175" s="64" t="str">
        <x:v>profit_profitAmount</x:v>
      </x:c>
    </x:row>
    <x:row r="176">
      <x:c r="A176" s="61" t="str">
        <x:v>46d65185912021fbc5dc3f20b5c488e8</x:v>
      </x:c>
      <x:c r="B176" s="64" t="str">
        <x:v>B类：当前真实与预测均盈利，Top1增益超过当前预测误差</x:v>
      </x:c>
      <x:c r="C176" s="64" t="str">
        <x:v>很高（≥2.0倍）</x:v>
      </x:c>
      <x:c r="D176" s="49" t="n">
        <x:v>46261</x:v>
      </x:c>
      <x:c r="E176" s="61" t="str">
        <x:v>10000244</x:v>
      </x:c>
      <x:c r="F176" s="46" t="str">
        <x:v>B站专线-盒子V2</x:v>
      </x:c>
      <x:c r="G176" s="52" t="n">
        <x:v>19.32</x:v>
      </x:c>
      <x:c r="H176" s="52" t="n">
        <x:v>14.665798</x:v>
      </x:c>
      <x:c r="I176" s="52" t="n">
        <x:f>ABS(G176-H176)</x:f>
        <x:v>4.654202</x:v>
      </x:c>
      <x:c r="J176" s="61" t="str">
        <x:v>10000300</x:v>
      </x:c>
      <x:c r="K176" s="46" t="str">
        <x:v>B站-晚高峰21点</x:v>
      </x:c>
      <x:c r="L176" s="52" t="n">
        <x:v>26.21476</x:v>
      </x:c>
      <x:c r="M176" s="52" t="n">
        <x:f>L176-H176</x:f>
        <x:v>11.548961999999998</x:v>
      </x:c>
      <x:c r="N176" s="55" t="n">
        <x:f>M176/MAX(I176,1)</x:f>
        <x:v>2.481405405266037</x:v>
      </x:c>
      <x:c r="O176" s="52" t="n">
        <x:v>14.517635</x:v>
      </x:c>
      <x:c r="P176" s="52" t="n">
        <x:v>14.755335</x:v>
      </x:c>
      <x:c r="Q176" s="52" t="n">
        <x:f>P176-O176</x:f>
        <x:v>0.23770000000000024</x:v>
      </x:c>
      <x:c r="R176" s="58" t="n">
        <x:v>52</x:v>
      </x:c>
      <x:c r="S176" s="58" t="n">
        <x:v>7</x:v>
      </x:c>
      <x:c r="T176" s="64" t="str">
        <x:v>profit_profitAmount</x:v>
      </x:c>
    </x:row>
    <x:row r="177">
      <x:c r="A177" s="61" t="str">
        <x:v>3ad9e197bee8ff587e0bb22fa46abf43</x:v>
      </x:c>
      <x:c r="B177" s="64" t="str">
        <x:v>B类：当前真实与预测均盈利，Top1增益超过当前预测误差</x:v>
      </x:c>
      <x:c r="C177" s="64" t="str">
        <x:v>很高（≥2.0倍）</x:v>
      </x:c>
      <x:c r="D177" s="49" t="n">
        <x:v>46261</x:v>
      </x:c>
      <x:c r="E177" s="61" t="str">
        <x:v>10000079</x:v>
      </x:c>
      <x:c r="F177" s="46" t="str">
        <x:v>字节架构汇聚V2</x:v>
      </x:c>
      <x:c r="G177" s="52" t="n">
        <x:v>96.26</x:v>
      </x:c>
      <x:c r="H177" s="52" t="n">
        <x:v>44.698395</x:v>
      </x:c>
      <x:c r="I177" s="52" t="n">
        <x:f>ABS(G177-H177)</x:f>
        <x:v>51.56160500000001</x:v>
      </x:c>
      <x:c r="J177" s="61" t="str">
        <x:v>10000183</x:v>
      </x:c>
      <x:c r="K177" s="46" t="str">
        <x:v>B站专线-盒子</x:v>
      </x:c>
      <x:c r="L177" s="52" t="n">
        <x:v>167.34354</x:v>
      </x:c>
      <x:c r="M177" s="52" t="n">
        <x:f>L177-H177</x:f>
        <x:v>122.64514499999999</x:v>
      </x:c>
      <x:c r="N177" s="55" t="n">
        <x:f>M177/MAX(I177,1)</x:f>
        <x:v>2.3786137960600717</x:v>
      </x:c>
      <x:c r="O177" s="52" t="n">
        <x:v>15.267221</x:v>
      </x:c>
      <x:c r="P177" s="52" t="n">
        <x:v>93.18262</x:v>
      </x:c>
      <x:c r="Q177" s="52" t="n">
        <x:f>P177-O177</x:f>
        <x:v>77.91539900000001</x:v>
      </x:c>
      <x:c r="R177" s="58" t="n">
        <x:v>96</x:v>
      </x:c>
      <x:c r="S177" s="58" t="n">
        <x:v>7</x:v>
      </x:c>
      <x:c r="T177" s="64" t="str">
        <x:v>profit_profitAmount</x:v>
      </x:c>
    </x:row>
    <x:row r="178">
      <x:c r="A178" s="61" t="str">
        <x:v>1ea8006fe7e788c468b3a965cb7bb45f</x:v>
      </x:c>
      <x:c r="B178" s="64" t="str">
        <x:v>B类：当前真实与预测均盈利，Top1增益超过当前预测误差</x:v>
      </x:c>
      <x:c r="C178" s="64" t="str">
        <x:v>很高（≥2.0倍）</x:v>
      </x:c>
      <x:c r="D178" s="49" t="n">
        <x:v>46261</x:v>
      </x:c>
      <x:c r="E178" s="61" t="str">
        <x:v>10000122</x:v>
      </x:c>
      <x:c r="F178" s="46" t="str">
        <x:v>金山云汇聚ern</x:v>
      </x:c>
      <x:c r="G178" s="52" t="n">
        <x:v>3.25</x:v>
      </x:c>
      <x:c r="H178" s="52" t="n">
        <x:v>0</x:v>
      </x:c>
      <x:c r="I178" s="52" t="n">
        <x:f>ABS(G178-H178)</x:f>
        <x:v>3.25</x:v>
      </x:c>
      <x:c r="J178" s="61" t="str">
        <x:v>10000074</x:v>
      </x:c>
      <x:c r="K178" s="46" t="str">
        <x:v>腾讯直连独立</x:v>
      </x:c>
      <x:c r="L178" s="52" t="n">
        <x:v>7.4440613</x:v>
      </x:c>
      <x:c r="M178" s="52" t="n">
        <x:f>L178-H178</x:f>
        <x:v>7.4440613</x:v>
      </x:c>
      <x:c r="N178" s="55" t="n">
        <x:f>M178/MAX(I178,1)</x:f>
        <x:v>2.2904804000000003</x:v>
      </x:c>
      <x:c r="O178" s="52" t="n">
        <x:v>2.9239514</x:v>
      </x:c>
      <x:c r="P178" s="52" t="n">
        <x:v>14.903482</x:v>
      </x:c>
      <x:c r="Q178" s="52" t="n">
        <x:f>P178-O178</x:f>
        <x:v>11.9795306</x:v>
      </x:c>
      <x:c r="R178" s="58" t="n">
        <x:v>336</x:v>
      </x:c>
      <x:c r="S178" s="58" t="n">
        <x:v>7</x:v>
      </x:c>
      <x:c r="T178" s="64" t="str">
        <x:v>profit_profitAmount</x:v>
      </x:c>
    </x:row>
    <x:row r="179">
      <x:c r="A179" s="61" t="str">
        <x:v>079102a6fd43042b899f7490a657e1a1</x:v>
      </x:c>
      <x:c r="B179" s="64" t="str">
        <x:v>B类：当前真实与预测均盈利，Top1增益超过当前预测误差</x:v>
      </x:c>
      <x:c r="C179" s="64" t="str">
        <x:v>很高（≥2.0倍）</x:v>
      </x:c>
      <x:c r="D179" s="49" t="n">
        <x:v>46261</x:v>
      </x:c>
      <x:c r="E179" s="61" t="str">
        <x:v>10000244</x:v>
      </x:c>
      <x:c r="F179" s="46" t="str">
        <x:v>B站专线-盒子V2</x:v>
      </x:c>
      <x:c r="G179" s="52" t="n">
        <x:v>22.72</x:v>
      </x:c>
      <x:c r="H179" s="52" t="n">
        <x:v>4.41576</x:v>
      </x:c>
      <x:c r="I179" s="52" t="n">
        <x:f>ABS(G179-H179)</x:f>
        <x:v>18.30424</x:v>
      </x:c>
      <x:c r="J179" s="61" t="str">
        <x:v>10000183</x:v>
      </x:c>
      <x:c r="K179" s="46" t="str">
        <x:v>B站专线-盒子</x:v>
      </x:c>
      <x:c r="L179" s="52" t="n">
        <x:v>45.453094</x:v>
      </x:c>
      <x:c r="M179" s="52" t="n">
        <x:f>L179-H179</x:f>
        <x:v>41.037334</x:v>
      </x:c>
      <x:c r="N179" s="55" t="n">
        <x:f>M179/MAX(I179,1)</x:f>
        <x:v>2.241957819609009</x:v>
      </x:c>
      <x:c r="O179" s="52" t="n">
        <x:v>4.435792</x:v>
      </x:c>
      <x:c r="P179" s="52" t="n">
        <x:v>19.042938</x:v>
      </x:c>
      <x:c r="Q179" s="52" t="n">
        <x:f>P179-O179</x:f>
        <x:v>14.607146</x:v>
      </x:c>
      <x:c r="R179" s="58" t="n">
        <x:v>96</x:v>
      </x:c>
      <x:c r="S179" s="58" t="n">
        <x:v>7</x:v>
      </x:c>
      <x:c r="T179" s="64" t="str">
        <x:v>profit_profitAmount</x:v>
      </x:c>
    </x:row>
    <x:row r="180">
      <x:c r="A180" s="61" t="str">
        <x:v>f6beb4d888f199a4f946ba74cc428889</x:v>
      </x:c>
      <x:c r="B180" s="64" t="str">
        <x:v>B类：当前真实与预测均盈利，Top1增益超过当前预测误差</x:v>
      </x:c>
      <x:c r="C180" s="64" t="str">
        <x:v>很高（≥2.0倍）</x:v>
      </x:c>
      <x:c r="D180" s="49" t="n">
        <x:v>46261</x:v>
      </x:c>
      <x:c r="E180" s="61" t="str">
        <x:v>10000019</x:v>
      </x:c>
      <x:c r="F180" s="46" t="str">
        <x:v>B站盒子</x:v>
      </x:c>
      <x:c r="G180" s="52" t="n">
        <x:v>16.64</x:v>
      </x:c>
      <x:c r="H180" s="52" t="n">
        <x:v>0</x:v>
      </x:c>
      <x:c r="I180" s="52" t="n">
        <x:f>ABS(G180-H180)</x:f>
        <x:v>16.64</x:v>
      </x:c>
      <x:c r="J180" s="61" t="str">
        <x:v>10000183</x:v>
      </x:c>
      <x:c r="K180" s="46" t="str">
        <x:v>B站专线-盒子</x:v>
      </x:c>
      <x:c r="L180" s="52" t="n">
        <x:v>37.16188</x:v>
      </x:c>
      <x:c r="M180" s="52" t="n">
        <x:f>L180-H180</x:f>
        <x:v>37.16188</x:v>
      </x:c>
      <x:c r="N180" s="55" t="n">
        <x:f>M180/MAX(I180,1)</x:f>
        <x:v>2.2332860576923075</x:v>
      </x:c>
      <x:c r="O180" s="52" t="n">
        <x:v>4.249086</x:v>
      </x:c>
      <x:c r="P180" s="52" t="n">
        <x:v>62.99029</x:v>
      </x:c>
      <x:c r="Q180" s="52" t="n">
        <x:f>P180-O180</x:f>
        <x:v>58.741204</x:v>
      </x:c>
      <x:c r="R180" s="58" t="n">
        <x:v>96</x:v>
      </x:c>
      <x:c r="S180" s="58" t="n">
        <x:v>7</x:v>
      </x:c>
      <x:c r="T180" s="64" t="str">
        <x:v>profit_profitAmount</x:v>
      </x:c>
    </x:row>
    <x:row r="181">
      <x:c r="A181" s="61" t="str">
        <x:v>5b8fd56a218b5e13de3bb0aae825bc6a</x:v>
      </x:c>
      <x:c r="B181" s="64" t="str">
        <x:v>B类：当前真实与预测均盈利，Top1增益超过当前预测误差</x:v>
      </x:c>
      <x:c r="C181" s="64" t="str">
        <x:v>很高（≥2.0倍）</x:v>
      </x:c>
      <x:c r="D181" s="49" t="n">
        <x:v>46261</x:v>
      </x:c>
      <x:c r="E181" s="61" t="str">
        <x:v>10000292</x:v>
      </x:c>
      <x:c r="F181" s="46"/>
      <x:c r="G181" s="52" t="n">
        <x:v>73.98</x:v>
      </x:c>
      <x:c r="H181" s="52" t="n">
        <x:v>3.7860205</x:v>
      </x:c>
      <x:c r="I181" s="52" t="n">
        <x:f>ABS(G181-H181)</x:f>
        <x:v>70.1939795</x:v>
      </x:c>
      <x:c r="J181" s="61" t="str">
        <x:v>10000183</x:v>
      </x:c>
      <x:c r="K181" s="46" t="str">
        <x:v>B站专线-盒子</x:v>
      </x:c>
      <x:c r="L181" s="52" t="n">
        <x:v>160.27437</x:v>
      </x:c>
      <x:c r="M181" s="52" t="n">
        <x:f>L181-H181</x:f>
        <x:v>156.4883495</x:v>
      </x:c>
      <x:c r="N181" s="55" t="n">
        <x:f>M181/MAX(I181,1)</x:f>
        <x:v>2.2293699632744146</x:v>
      </x:c>
      <x:c r="O181" s="52" t="n">
        <x:v>26.504036</x:v>
      </x:c>
      <x:c r="P181" s="52" t="n">
        <x:v>39.5242</x:v>
      </x:c>
      <x:c r="Q181" s="52" t="n">
        <x:f>P181-O181</x:f>
        <x:v>13.020164000000001</x:v>
      </x:c>
      <x:c r="R181" s="58" t="n">
        <x:v>96</x:v>
      </x:c>
      <x:c r="S181" s="58" t="n">
        <x:v>7</x:v>
      </x:c>
      <x:c r="T181" s="64" t="str">
        <x:v>profit_profitAmount</x:v>
      </x:c>
    </x:row>
    <x:row r="182">
      <x:c r="A182" s="61" t="str">
        <x:v>3aaff2b6fbabe7ac5a66649b39f2db8e</x:v>
      </x:c>
      <x:c r="B182" s="64" t="str">
        <x:v>B类：当前真实与预测均盈利，Top1增益超过当前预测误差</x:v>
      </x:c>
      <x:c r="C182" s="64" t="str">
        <x:v>很高（≥2.0倍）</x:v>
      </x:c>
      <x:c r="D182" s="49" t="n">
        <x:v>46261</x:v>
      </x:c>
      <x:c r="E182" s="61" t="str">
        <x:v>10000079</x:v>
      </x:c>
      <x:c r="F182" s="46" t="str">
        <x:v>字节架构汇聚V2</x:v>
      </x:c>
      <x:c r="G182" s="52" t="n">
        <x:v>13.65</x:v>
      </x:c>
      <x:c r="H182" s="52" t="n">
        <x:v>4.6798058</x:v>
      </x:c>
      <x:c r="I182" s="52" t="n">
        <x:f>ABS(G182-H182)</x:f>
        <x:v>8.970194200000002</x:v>
      </x:c>
      <x:c r="J182" s="61" t="str">
        <x:v>1382490022</x:v>
      </x:c>
      <x:c r="K182" s="46" t="str">
        <x:v>快手盒子</x:v>
      </x:c>
      <x:c r="L182" s="52" t="n">
        <x:v>24.663889</x:v>
      </x:c>
      <x:c r="M182" s="52" t="n">
        <x:f>L182-H182</x:f>
        <x:v>19.9840832</x:v>
      </x:c>
      <x:c r="N182" s="55" t="n">
        <x:f>M182/MAX(I182,1)</x:f>
        <x:v>2.2278317229742917</x:v>
      </x:c>
      <x:c r="O182" s="52" t="n">
        <x:v>-2.7372162</x:v>
      </x:c>
      <x:c r="P182" s="52" t="n">
        <x:v>16.113083</x:v>
      </x:c>
      <x:c r="Q182" s="52" t="n">
        <x:f>P182-O182</x:f>
        <x:v>18.8502992</x:v>
      </x:c>
      <x:c r="R182" s="58" t="n">
        <x:v>76</x:v>
      </x:c>
      <x:c r="S182" s="58" t="n">
        <x:v>7</x:v>
      </x:c>
      <x:c r="T182" s="64" t="str">
        <x:v>profit_profitAmount</x:v>
      </x:c>
    </x:row>
    <x:row r="183">
      <x:c r="A183" s="61" t="str">
        <x:v>12cec8837fbf314314af288c7fe2ad1e</x:v>
      </x:c>
      <x:c r="B183" s="64" t="str">
        <x:v>B类：当前真实与预测均盈利，Top1增益超过当前预测误差</x:v>
      </x:c>
      <x:c r="C183" s="64" t="str">
        <x:v>很高（≥2.0倍）</x:v>
      </x:c>
      <x:c r="D183" s="49" t="n">
        <x:v>46261</x:v>
      </x:c>
      <x:c r="E183" s="61" t="str">
        <x:v>1382680008</x:v>
      </x:c>
      <x:c r="F183" s="46" t="str">
        <x:v>字节CDN专线</x:v>
      </x:c>
      <x:c r="G183" s="52" t="n">
        <x:v>126.91</x:v>
      </x:c>
      <x:c r="H183" s="52" t="n">
        <x:v>103.06473</x:v>
      </x:c>
      <x:c r="I183" s="52" t="n">
        <x:f>ABS(G183-H183)</x:f>
        <x:v>23.84527</x:v>
      </x:c>
      <x:c r="J183" s="61" t="str">
        <x:v>10000304</x:v>
      </x:c>
      <x:c r="K183" s="46" t="str">
        <x:v>快手严选</x:v>
      </x:c>
      <x:c r="L183" s="52" t="n">
        <x:v>153.62215</x:v>
      </x:c>
      <x:c r="M183" s="52" t="n">
        <x:f>L183-H183</x:f>
        <x:v>50.55742000000001</x:v>
      </x:c>
      <x:c r="N183" s="55" t="n">
        <x:f>M183/MAX(I183,1)</x:f>
        <x:v>2.1202284562095546</x:v>
      </x:c>
      <x:c r="O183" s="52" t="n">
        <x:v>119.17533</x:v>
      </x:c>
      <x:c r="P183" s="52" t="n">
        <x:v>198.54668</x:v>
      </x:c>
      <x:c r="Q183" s="52" t="n">
        <x:f>P183-O183</x:f>
        <x:v>79.37135</x:v>
      </x:c>
      <x:c r="R183" s="58" t="n">
        <x:v>393</x:v>
      </x:c>
      <x:c r="S183" s="58" t="n">
        <x:v>7</x:v>
      </x:c>
      <x:c r="T183" s="64" t="str">
        <x:v>profit_profitAmount</x:v>
      </x:c>
    </x:row>
    <x:row r="184">
      <x:c r="A184" s="61" t="str">
        <x:v>f04584558bcc89aa6e69ed45810dcaf8</x:v>
      </x:c>
      <x:c r="B184" s="64" t="str">
        <x:v>B类：当前真实与预测均盈利，Top1增益超过当前预测误差</x:v>
      </x:c>
      <x:c r="C184" s="64" t="str">
        <x:v>很高（≥2.0倍）</x:v>
      </x:c>
      <x:c r="D184" s="49" t="n">
        <x:v>46261</x:v>
      </x:c>
      <x:c r="E184" s="61" t="str">
        <x:v>10000244</x:v>
      </x:c>
      <x:c r="F184" s="46" t="str">
        <x:v>B站专线-盒子V2</x:v>
      </x:c>
      <x:c r="G184" s="52" t="n">
        <x:v>144.02</x:v>
      </x:c>
      <x:c r="H184" s="52" t="n">
        <x:v>106.15979</x:v>
      </x:c>
      <x:c r="I184" s="52" t="n">
        <x:f>ABS(G184-H184)</x:f>
        <x:v>37.86021000000001</x:v>
      </x:c>
      <x:c r="J184" s="61" t="str">
        <x:v>10000183</x:v>
      </x:c>
      <x:c r="K184" s="46" t="str">
        <x:v>B站专线-盒子</x:v>
      </x:c>
      <x:c r="L184" s="52" t="n">
        <x:v>185.78064</x:v>
      </x:c>
      <x:c r="M184" s="52" t="n">
        <x:f>L184-H184</x:f>
        <x:v>79.62085</x:v>
      </x:c>
      <x:c r="N184" s="55" t="n">
        <x:f>M184/MAX(I184,1)</x:f>
        <x:v>2.103021879699029</x:v>
      </x:c>
      <x:c r="O184" s="52" t="n">
        <x:v>130.61043</x:v>
      </x:c>
      <x:c r="P184" s="52" t="n">
        <x:v>200.26859</x:v>
      </x:c>
      <x:c r="Q184" s="52" t="n">
        <x:f>P184-O184</x:f>
        <x:v>69.65815999999998</x:v>
      </x:c>
      <x:c r="R184" s="58" t="n">
        <x:v>96</x:v>
      </x:c>
      <x:c r="S184" s="58" t="n">
        <x:v>1</x:v>
      </x:c>
      <x:c r="T184" s="64" t="str">
        <x:v>profit_profitAmount</x:v>
      </x:c>
    </x:row>
    <x:row r="185">
      <x:c r="A185" s="61" t="str">
        <x:v>73e8c0aa533c9a98d88394c2ce4bc86a</x:v>
      </x:c>
      <x:c r="B185" s="64" t="str">
        <x:v>B类：当前真实与预测均盈利，Top1增益超过当前预测误差</x:v>
      </x:c>
      <x:c r="C185" s="64" t="str">
        <x:v>很高（≥2.0倍）</x:v>
      </x:c>
      <x:c r="D185" s="49" t="n">
        <x:v>46261</x:v>
      </x:c>
      <x:c r="E185" s="61" t="str">
        <x:v>1382680008</x:v>
      </x:c>
      <x:c r="F185" s="46" t="str">
        <x:v>字节CDN专线</x:v>
      </x:c>
      <x:c r="G185" s="52" t="n">
        <x:v>31.43</x:v>
      </x:c>
      <x:c r="H185" s="52" t="n">
        <x:v>98.14426</x:v>
      </x:c>
      <x:c r="I185" s="52" t="n">
        <x:f>ABS(G185-H185)</x:f>
        <x:v>66.71426</x:v>
      </x:c>
      <x:c r="J185" s="61" t="str">
        <x:v>10000183</x:v>
      </x:c>
      <x:c r="K185" s="46" t="str">
        <x:v>B站专线-盒子</x:v>
      </x:c>
      <x:c r="L185" s="52" t="n">
        <x:v>238.38197</x:v>
      </x:c>
      <x:c r="M185" s="52" t="n">
        <x:f>L185-H185</x:f>
        <x:v>140.23771</x:v>
      </x:c>
      <x:c r="N185" s="55" t="n">
        <x:f>M185/MAX(I185,1)</x:f>
        <x:v>2.1020649858066327</x:v>
      </x:c>
      <x:c r="O185" s="52" t="n">
        <x:v>122.898186</x:v>
      </x:c>
      <x:c r="P185" s="52" t="n">
        <x:v>184.91302</x:v>
      </x:c>
      <x:c r="Q185" s="52" t="n">
        <x:f>P185-O185</x:f>
        <x:v>62.01483399999999</x:v>
      </x:c>
      <x:c r="R185" s="58" t="n">
        <x:v>96</x:v>
      </x:c>
      <x:c r="S185" s="58" t="n">
        <x:v>7</x:v>
      </x:c>
      <x:c r="T185" s="64" t="str">
        <x:v>profit_profitAmount</x:v>
      </x:c>
    </x:row>
    <x:row r="186">
      <x:c r="A186" s="61" t="str">
        <x:v>4a6929ed6ab9439bc0100fcc193af465</x:v>
      </x:c>
      <x:c r="B186" s="64" t="str">
        <x:v>B类：当前真实与预测均盈利，Top1增益超过当前预测误差</x:v>
      </x:c>
      <x:c r="C186" s="64" t="str">
        <x:v>很高（≥2.0倍）</x:v>
      </x:c>
      <x:c r="D186" s="49" t="n">
        <x:v>46261</x:v>
      </x:c>
      <x:c r="E186" s="61" t="str">
        <x:v>10000244</x:v>
      </x:c>
      <x:c r="F186" s="46" t="str">
        <x:v>B站专线-盒子V2</x:v>
      </x:c>
      <x:c r="G186" s="52" t="n">
        <x:v>44.58</x:v>
      </x:c>
      <x:c r="H186" s="52" t="n">
        <x:v>16.640999</x:v>
      </x:c>
      <x:c r="I186" s="52" t="n">
        <x:f>ABS(G186-H186)</x:f>
        <x:v>27.939000999999998</x:v>
      </x:c>
      <x:c r="J186" s="61" t="str">
        <x:v>10000183</x:v>
      </x:c>
      <x:c r="K186" s="46" t="str">
        <x:v>B站专线-盒子</x:v>
      </x:c>
      <x:c r="L186" s="52" t="n">
        <x:v>74.91982</x:v>
      </x:c>
      <x:c r="M186" s="52" t="n">
        <x:f>L186-H186</x:f>
        <x:v>58.278821</x:v>
      </x:c>
      <x:c r="N186" s="55" t="n">
        <x:f>M186/MAX(I186,1)</x:f>
        <x:v>2.0859307388979302</x:v>
      </x:c>
      <x:c r="O186" s="52" t="n">
        <x:v>15.670937</x:v>
      </x:c>
      <x:c r="P186" s="52" t="n">
        <x:v>56.404602</x:v>
      </x:c>
      <x:c r="Q186" s="52" t="n">
        <x:f>P186-O186</x:f>
        <x:v>40.733664999999995</x:v>
      </x:c>
      <x:c r="R186" s="58" t="n">
        <x:v>96</x:v>
      </x:c>
      <x:c r="S186" s="58" t="n">
        <x:v>7</x:v>
      </x:c>
      <x:c r="T186" s="64" t="str">
        <x:v>profit_profitAmount</x:v>
      </x:c>
    </x:row>
    <x:row r="187">
      <x:c r="A187" s="61" t="str">
        <x:v>f670312ba76b8b353033877e9076588c</x:v>
      </x:c>
      <x:c r="B187" s="64" t="str">
        <x:v>B类：当前真实与预测均盈利，Top1增益超过当前预测误差</x:v>
      </x:c>
      <x:c r="C187" s="64" t="str">
        <x:v>很高（≥2.0倍）</x:v>
      </x:c>
      <x:c r="D187" s="49" t="n">
        <x:v>46261</x:v>
      </x:c>
      <x:c r="E187" s="61" t="str">
        <x:v>10000291</x:v>
      </x:c>
      <x:c r="F187" s="46"/>
      <x:c r="G187" s="52" t="n">
        <x:v>46.8</x:v>
      </x:c>
      <x:c r="H187" s="52" t="n">
        <x:v>4.474163</x:v>
      </x:c>
      <x:c r="I187" s="52" t="n">
        <x:f>ABS(G187-H187)</x:f>
        <x:v>42.325837</x:v>
      </x:c>
      <x:c r="J187" s="61" t="str">
        <x:v>10000183</x:v>
      </x:c>
      <x:c r="K187" s="46" t="str">
        <x:v>B站专线-盒子</x:v>
      </x:c>
      <x:c r="L187" s="52" t="n">
        <x:v>91.33212</x:v>
      </x:c>
      <x:c r="M187" s="52" t="n">
        <x:f>L187-H187</x:f>
        <x:v>86.857957</x:v>
      </x:c>
      <x:c r="N187" s="55" t="n">
        <x:f>M187/MAX(I187,1)</x:f>
        <x:v>2.0521261516931135</x:v>
      </x:c>
      <x:c r="O187" s="52" t="n">
        <x:v>11.228246</x:v>
      </x:c>
      <x:c r="P187" s="52" t="n">
        <x:v>75.12903</x:v>
      </x:c>
      <x:c r="Q187" s="52" t="n">
        <x:f>P187-O187</x:f>
        <x:v>63.900784</x:v>
      </x:c>
      <x:c r="R187" s="58" t="n">
        <x:v>96</x:v>
      </x:c>
      <x:c r="S187" s="58" t="n">
        <x:v>7</x:v>
      </x:c>
      <x:c r="T187" s="64" t="str">
        <x:v>profit_profitAmount</x:v>
      </x:c>
    </x:row>
    <x:row r="188">
      <x:c r="A188" s="61" t="str">
        <x:v>4813ba65d7a15f6448b76502851fc47d</x:v>
      </x:c>
      <x:c r="B188" s="64" t="str">
        <x:v>B类：当前真实与预测均盈利，Top1增益超过当前预测误差</x:v>
      </x:c>
      <x:c r="C188" s="64" t="str">
        <x:v>高（1.5–2.0倍）</x:v>
      </x:c>
      <x:c r="D188" s="49" t="n">
        <x:v>46261</x:v>
      </x:c>
      <x:c r="E188" s="61" t="str">
        <x:v>10000244</x:v>
      </x:c>
      <x:c r="F188" s="46" t="str">
        <x:v>B站专线-盒子V2</x:v>
      </x:c>
      <x:c r="G188" s="52" t="n">
        <x:v>14.28</x:v>
      </x:c>
      <x:c r="H188" s="52" t="n">
        <x:v>10.767601</x:v>
      </x:c>
      <x:c r="I188" s="52" t="n">
        <x:f>ABS(G188-H188)</x:f>
        <x:v>3.5123989999999985</x:v>
      </x:c>
      <x:c r="J188" s="61" t="str">
        <x:v>10000300</x:v>
      </x:c>
      <x:c r="K188" s="46" t="str">
        <x:v>B站-晚高峰21点</x:v>
      </x:c>
      <x:c r="L188" s="52" t="n">
        <x:v>17.71917</x:v>
      </x:c>
      <x:c r="M188" s="52" t="n">
        <x:f>L188-H188</x:f>
        <x:v>6.9515689999999974</x:v>
      </x:c>
      <x:c r="N188" s="55" t="n">
        <x:f>M188/MAX(I188,1)</x:f>
        <x:v>1.9791512866277436</x:v>
      </x:c>
      <x:c r="O188" s="52" t="n">
        <x:v>5.86</x:v>
      </x:c>
      <x:c r="P188" s="52" t="n">
        <x:v>7.3110423</x:v>
      </x:c>
      <x:c r="Q188" s="52" t="n">
        <x:f>P188-O188</x:f>
        <x:v>1.4510423000000001</x:v>
      </x:c>
      <x:c r="R188" s="58" t="n">
        <x:v>52</x:v>
      </x:c>
      <x:c r="S188" s="58" t="n">
        <x:v>7</x:v>
      </x:c>
      <x:c r="T188" s="64" t="str">
        <x:v>profit_profitAmount</x:v>
      </x:c>
    </x:row>
    <x:row r="189">
      <x:c r="A189" s="61" t="str">
        <x:v>f46e47bdc53a886e173c1dc2e449f27e</x:v>
      </x:c>
      <x:c r="B189" s="64" t="str">
        <x:v>B类：当前真实与预测均盈利，Top1增益超过当前预测误差</x:v>
      </x:c>
      <x:c r="C189" s="64" t="str">
        <x:v>高（1.5–2.0倍）</x:v>
      </x:c>
      <x:c r="D189" s="49" t="n">
        <x:v>46259</x:v>
      </x:c>
      <x:c r="E189" s="61" t="str">
        <x:v>10000064</x:v>
      </x:c>
      <x:c r="F189" s="46" t="str">
        <x:v>百度小度</x:v>
      </x:c>
      <x:c r="G189" s="52" t="n">
        <x:v>93.14</x:v>
      </x:c>
      <x:c r="H189" s="52" t="n">
        <x:v>15.008484</x:v>
      </x:c>
      <x:c r="I189" s="52" t="n">
        <x:f>ABS(G189-H189)</x:f>
        <x:v>78.131516</x:v>
      </x:c>
      <x:c r="J189" s="61" t="str">
        <x:v>10000183</x:v>
      </x:c>
      <x:c r="K189" s="46" t="str">
        <x:v>B站专线-盒子</x:v>
      </x:c>
      <x:c r="L189" s="52" t="n">
        <x:v>167.28438</x:v>
      </x:c>
      <x:c r="M189" s="52" t="n">
        <x:f>L189-H189</x:f>
        <x:v>152.275896</x:v>
      </x:c>
      <x:c r="N189" s="55" t="n">
        <x:f>M189/MAX(I189,1)</x:f>
        <x:v>1.9489689154374015</x:v>
      </x:c>
      <x:c r="O189" s="52" t="n">
        <x:v>-6.4237084</x:v>
      </x:c>
      <x:c r="P189" s="52" t="n">
        <x:v>150.71724</x:v>
      </x:c>
      <x:c r="Q189" s="52" t="n">
        <x:f>P189-O189</x:f>
        <x:v>157.1409484</x:v>
      </x:c>
      <x:c r="R189" s="58" t="n">
        <x:v>96</x:v>
      </x:c>
      <x:c r="S189" s="58" t="n">
        <x:v>5</x:v>
      </x:c>
      <x:c r="T189" s="64" t="str">
        <x:v>profit_profitAmount</x:v>
      </x:c>
    </x:row>
    <x:row r="190">
      <x:c r="A190" s="61" t="str">
        <x:v>4f2bfde41dee336a5bdd7999efe60649</x:v>
      </x:c>
      <x:c r="B190" s="64" t="str">
        <x:v>B类：当前真实与预测均盈利，Top1增益超过当前预测误差</x:v>
      </x:c>
      <x:c r="C190" s="64" t="str">
        <x:v>高（1.5–2.0倍）</x:v>
      </x:c>
      <x:c r="D190" s="49" t="n">
        <x:v>46261</x:v>
      </x:c>
      <x:c r="E190" s="61" t="str">
        <x:v>10000244</x:v>
      </x:c>
      <x:c r="F190" s="46" t="str">
        <x:v>B站专线-盒子V2</x:v>
      </x:c>
      <x:c r="G190" s="52" t="n">
        <x:v>37.9</x:v>
      </x:c>
      <x:c r="H190" s="52" t="n">
        <x:v>1.7124481</x:v>
      </x:c>
      <x:c r="I190" s="52" t="n">
        <x:f>ABS(G190-H190)</x:f>
        <x:v>36.187551899999995</x:v>
      </x:c>
      <x:c r="J190" s="61" t="str">
        <x:v>10000183</x:v>
      </x:c>
      <x:c r="K190" s="46" t="str">
        <x:v>B站专线-盒子</x:v>
      </x:c>
      <x:c r="L190" s="52" t="n">
        <x:v>70.76807</x:v>
      </x:c>
      <x:c r="M190" s="52" t="n">
        <x:f>L190-H190</x:f>
        <x:v>69.05562189999999</x:v>
      </x:c>
      <x:c r="N190" s="55" t="n">
        <x:f>M190/MAX(I190,1)</x:f>
        <x:v>1.9082700617833173</x:v>
      </x:c>
      <x:c r="O190" s="52" t="n">
        <x:v>3.9832587</x:v>
      </x:c>
      <x:c r="P190" s="52" t="n">
        <x:v>67.91748</x:v>
      </x:c>
      <x:c r="Q190" s="52" t="n">
        <x:f>P190-O190</x:f>
        <x:v>63.9342213</x:v>
      </x:c>
      <x:c r="R190" s="58" t="n">
        <x:v>96</x:v>
      </x:c>
      <x:c r="S190" s="58" t="n">
        <x:v>7</x:v>
      </x:c>
      <x:c r="T190" s="64" t="str">
        <x:v>profit_profitAmount</x:v>
      </x:c>
    </x:row>
    <x:row r="191">
      <x:c r="A191" s="61" t="str">
        <x:v>0874047ff7beb37505bccb524ce276a8</x:v>
      </x:c>
      <x:c r="B191" s="64" t="str">
        <x:v>B类：当前真实与预测均盈利，Top1增益超过当前预测误差</x:v>
      </x:c>
      <x:c r="C191" s="64" t="str">
        <x:v>高（1.5–2.0倍）</x:v>
      </x:c>
      <x:c r="D191" s="49" t="n">
        <x:v>46261</x:v>
      </x:c>
      <x:c r="E191" s="61" t="str">
        <x:v>10000291</x:v>
      </x:c>
      <x:c r="F191" s="46"/>
      <x:c r="G191" s="52" t="n">
        <x:v>44.29</x:v>
      </x:c>
      <x:c r="H191" s="52" t="n">
        <x:v>2.1811619</x:v>
      </x:c>
      <x:c r="I191" s="52" t="n">
        <x:f>ABS(G191-H191)</x:f>
        <x:v>42.1088381</x:v>
      </x:c>
      <x:c r="J191" s="61" t="str">
        <x:v>10000183</x:v>
      </x:c>
      <x:c r="K191" s="46" t="str">
        <x:v>B站专线-盒子</x:v>
      </x:c>
      <x:c r="L191" s="52" t="n">
        <x:v>82.23433</x:v>
      </x:c>
      <x:c r="M191" s="52" t="n">
        <x:f>L191-H191</x:f>
        <x:v>80.0531681</x:v>
      </x:c>
      <x:c r="N191" s="55" t="n">
        <x:f>M191/MAX(I191,1)</x:f>
        <x:v>1.9011013296042474</x:v>
      </x:c>
      <x:c r="O191" s="52" t="n">
        <x:v>4.4116163</x:v>
      </x:c>
      <x:c r="P191" s="52" t="n">
        <x:v>50.761333</x:v>
      </x:c>
      <x:c r="Q191" s="52" t="n">
        <x:f>P191-O191</x:f>
        <x:v>46.3497167</x:v>
      </x:c>
      <x:c r="R191" s="58" t="n">
        <x:v>96</x:v>
      </x:c>
      <x:c r="S191" s="58" t="n">
        <x:v>7</x:v>
      </x:c>
      <x:c r="T191" s="64" t="str">
        <x:v>profit_profitAmount</x:v>
      </x:c>
    </x:row>
    <x:row r="192">
      <x:c r="A192" s="61" t="str">
        <x:v>78f73cc75173acc256aa6fecceb47f4c</x:v>
      </x:c>
      <x:c r="B192" s="64" t="str">
        <x:v>B类：当前真实与预测均盈利，Top1增益超过当前预测误差</x:v>
      </x:c>
      <x:c r="C192" s="64" t="str">
        <x:v>高（1.5–2.0倍）</x:v>
      </x:c>
      <x:c r="D192" s="49" t="n">
        <x:v>46261</x:v>
      </x:c>
      <x:c r="E192" s="61" t="str">
        <x:v>10000304</x:v>
      </x:c>
      <x:c r="F192" s="46" t="str">
        <x:v>快手严选</x:v>
      </x:c>
      <x:c r="G192" s="52" t="n">
        <x:v>58.03</x:v>
      </x:c>
      <x:c r="H192" s="52" t="n">
        <x:v>28.90332</x:v>
      </x:c>
      <x:c r="I192" s="52" t="n">
        <x:f>ABS(G192-H192)</x:f>
        <x:v>29.12668</x:v>
      </x:c>
      <x:c r="J192" s="61" t="str">
        <x:v>10000183</x:v>
      </x:c>
      <x:c r="K192" s="46" t="str">
        <x:v>B站专线-盒子</x:v>
      </x:c>
      <x:c r="L192" s="52" t="n">
        <x:v>82.27532</x:v>
      </x:c>
      <x:c r="M192" s="52" t="n">
        <x:f>L192-H192</x:f>
        <x:v>53.37199999999999</x:v>
      </x:c>
      <x:c r="N192" s="55" t="n">
        <x:f>M192/MAX(I192,1)</x:f>
        <x:v>1.8324093236853631</x:v>
      </x:c>
      <x:c r="O192" s="52" t="n">
        <x:v>35.65384</x:v>
      </x:c>
      <x:c r="P192" s="52" t="n">
        <x:v>48.974403</x:v>
      </x:c>
      <x:c r="Q192" s="52" t="n">
        <x:f>P192-O192</x:f>
        <x:v>13.320563</x:v>
      </x:c>
      <x:c r="R192" s="58" t="n">
        <x:v>96</x:v>
      </x:c>
      <x:c r="S192" s="58" t="n">
        <x:v>7</x:v>
      </x:c>
      <x:c r="T192" s="64" t="str">
        <x:v>profit_profitAmount</x:v>
      </x:c>
    </x:row>
    <x:row r="193">
      <x:c r="A193" s="61" t="str">
        <x:v>e19650c28ca8ec7140f27e7dd34899f4</x:v>
      </x:c>
      <x:c r="B193" s="64" t="str">
        <x:v>B类：当前真实与预测均盈利，Top1增益超过当前预测误差</x:v>
      </x:c>
      <x:c r="C193" s="64" t="str">
        <x:v>高（1.5–2.0倍）</x:v>
      </x:c>
      <x:c r="D193" s="49" t="n">
        <x:v>46261</x:v>
      </x:c>
      <x:c r="E193" s="61" t="str">
        <x:v>1382680008</x:v>
      </x:c>
      <x:c r="F193" s="46" t="str">
        <x:v>字节CDN专线</x:v>
      </x:c>
      <x:c r="G193" s="52" t="n">
        <x:v>153.25</x:v>
      </x:c>
      <x:c r="H193" s="52" t="n">
        <x:v>128.52737</x:v>
      </x:c>
      <x:c r="I193" s="52" t="n">
        <x:f>ABS(G193-H193)</x:f>
        <x:v>24.72263000000001</x:v>
      </x:c>
      <x:c r="J193" s="61" t="str">
        <x:v>10000304</x:v>
      </x:c>
      <x:c r="K193" s="46" t="str">
        <x:v>快手严选</x:v>
      </x:c>
      <x:c r="L193" s="52" t="n">
        <x:v>173.49756</x:v>
      </x:c>
      <x:c r="M193" s="52" t="n">
        <x:f>L193-H193</x:f>
        <x:v>44.97019</x:v>
      </x:c>
      <x:c r="N193" s="55" t="n">
        <x:f>M193/MAX(I193,1)</x:f>
        <x:v>1.8189889182502017</x:v>
      </x:c>
      <x:c r="O193" s="52" t="n">
        <x:v>120.750114</x:v>
      </x:c>
      <x:c r="P193" s="52" t="n">
        <x:v>202.25682</x:v>
      </x:c>
      <x:c r="Q193" s="52" t="n">
        <x:f>P193-O193</x:f>
        <x:v>81.50670600000001</x:v>
      </x:c>
      <x:c r="R193" s="58" t="n">
        <x:v>393</x:v>
      </x:c>
      <x:c r="S193" s="58" t="n">
        <x:v>7</x:v>
      </x:c>
      <x:c r="T193" s="64" t="str">
        <x:v>profit_profitAmount</x:v>
      </x:c>
    </x:row>
    <x:row r="194">
      <x:c r="A194" s="61" t="str">
        <x:v>d9bef45c1cd419414cd53c4dea255551</x:v>
      </x:c>
      <x:c r="B194" s="64" t="str">
        <x:v>B类：当前真实与预测均盈利，Top1增益超过当前预测误差</x:v>
      </x:c>
      <x:c r="C194" s="64" t="str">
        <x:v>高（1.5–2.0倍）</x:v>
      </x:c>
      <x:c r="D194" s="49" t="n">
        <x:v>46261</x:v>
      </x:c>
      <x:c r="E194" s="61" t="str">
        <x:v>10000079</x:v>
      </x:c>
      <x:c r="F194" s="46" t="str">
        <x:v>字节架构汇聚V2</x:v>
      </x:c>
      <x:c r="G194" s="52" t="n">
        <x:v>62.32</x:v>
      </x:c>
      <x:c r="H194" s="52" t="n">
        <x:v>21.828888</x:v>
      </x:c>
      <x:c r="I194" s="52" t="n">
        <x:f>ABS(G194-H194)</x:f>
        <x:v>40.491112</x:v>
      </x:c>
      <x:c r="J194" s="61" t="str">
        <x:v>10000183</x:v>
      </x:c>
      <x:c r="K194" s="46" t="str">
        <x:v>B站专线-盒子</x:v>
      </x:c>
      <x:c r="L194" s="52" t="n">
        <x:v>94.839005</x:v>
      </x:c>
      <x:c r="M194" s="52" t="n">
        <x:f>L194-H194</x:f>
        <x:v>73.01011700000001</x:v>
      </x:c>
      <x:c r="N194" s="55" t="n">
        <x:f>M194/MAX(I194,1)</x:f>
        <x:v>1.8031146440236072</x:v>
      </x:c>
      <x:c r="O194" s="52" t="n">
        <x:v>20.810022</x:v>
      </x:c>
      <x:c r="P194" s="52" t="n">
        <x:v>59.814705</x:v>
      </x:c>
      <x:c r="Q194" s="52" t="n">
        <x:f>P194-O194</x:f>
        <x:v>39.004683</x:v>
      </x:c>
      <x:c r="R194" s="58" t="n">
        <x:v>96</x:v>
      </x:c>
      <x:c r="S194" s="58" t="n">
        <x:v>7</x:v>
      </x:c>
      <x:c r="T194" s="64" t="str">
        <x:v>profit_profitAmount</x:v>
      </x:c>
    </x:row>
    <x:row r="195">
      <x:c r="A195" s="61" t="str">
        <x:v>11e31843039a67bcd2fded49dbac4583</x:v>
      </x:c>
      <x:c r="B195" s="64" t="str">
        <x:v>B类：当前真实与预测均盈利，Top1增益超过当前预测误差</x:v>
      </x:c>
      <x:c r="C195" s="64" t="str">
        <x:v>高（1.5–2.0倍）</x:v>
      </x:c>
      <x:c r="D195" s="49" t="n">
        <x:v>46261</x:v>
      </x:c>
      <x:c r="E195" s="61" t="str">
        <x:v>10000244</x:v>
      </x:c>
      <x:c r="F195" s="46" t="str">
        <x:v>B站专线-盒子V2</x:v>
      </x:c>
      <x:c r="G195" s="52" t="n">
        <x:v>30.15</x:v>
      </x:c>
      <x:c r="H195" s="52" t="n">
        <x:v>26.923904</x:v>
      </x:c>
      <x:c r="I195" s="52" t="n">
        <x:f>ABS(G195-H195)</x:f>
        <x:v>3.2260959999999983</x:v>
      </x:c>
      <x:c r="J195" s="61" t="str">
        <x:v>1382490022</x:v>
      </x:c>
      <x:c r="K195" s="46" t="str">
        <x:v>快手盒子</x:v>
      </x:c>
      <x:c r="L195" s="52" t="n">
        <x:v>32.42095</x:v>
      </x:c>
      <x:c r="M195" s="52" t="n">
        <x:f>L195-H195</x:f>
        <x:v>5.497045999999997</x:v>
      </x:c>
      <x:c r="N195" s="55" t="n">
        <x:f>M195/MAX(I195,1)</x:f>
        <x:v>1.7039313151251545</x:v>
      </x:c>
      <x:c r="O195" s="52" t="n">
        <x:v>31.636976</x:v>
      </x:c>
      <x:c r="P195" s="52" t="n">
        <x:v>78.09692</x:v>
      </x:c>
      <x:c r="Q195" s="52" t="n">
        <x:f>P195-O195</x:f>
        <x:v>46.45994399999999</x:v>
      </x:c>
      <x:c r="R195" s="58" t="n">
        <x:v>76</x:v>
      </x:c>
      <x:c r="S195" s="58" t="n">
        <x:v>6</x:v>
      </x:c>
      <x:c r="T195" s="64" t="str">
        <x:v>profit_profitAmount</x:v>
      </x:c>
    </x:row>
    <x:row r="196">
      <x:c r="A196" s="61" t="str">
        <x:v>ca647411b6aa437a237a34ab330257ce</x:v>
      </x:c>
      <x:c r="B196" s="64" t="str">
        <x:v>B类：当前真实与预测均盈利，Top1增益超过当前预测误差</x:v>
      </x:c>
      <x:c r="C196" s="64" t="str">
        <x:v>高（1.5–2.0倍）</x:v>
      </x:c>
      <x:c r="D196" s="49" t="n">
        <x:v>46261</x:v>
      </x:c>
      <x:c r="E196" s="61" t="str">
        <x:v>10000244</x:v>
      </x:c>
      <x:c r="F196" s="46" t="str">
        <x:v>B站专线-盒子V2</x:v>
      </x:c>
      <x:c r="G196" s="52" t="n">
        <x:v>41.33</x:v>
      </x:c>
      <x:c r="H196" s="52" t="n">
        <x:v>2.421112</x:v>
      </x:c>
      <x:c r="I196" s="52" t="n">
        <x:f>ABS(G196-H196)</x:f>
        <x:v>38.908888</x:v>
      </x:c>
      <x:c r="J196" s="61" t="str">
        <x:v>10000183</x:v>
      </x:c>
      <x:c r="K196" s="46" t="str">
        <x:v>B站专线-盒子</x:v>
      </x:c>
      <x:c r="L196" s="52" t="n">
        <x:v>68.50962</x:v>
      </x:c>
      <x:c r="M196" s="52" t="n">
        <x:f>L196-H196</x:f>
        <x:v>66.088508</x:v>
      </x:c>
      <x:c r="N196" s="55" t="n">
        <x:f>M196/MAX(I196,1)</x:f>
        <x:v>1.6985452783950035</x:v>
      </x:c>
      <x:c r="O196" s="52" t="n">
        <x:v>3.1883075</x:v>
      </x:c>
      <x:c r="P196" s="52" t="n">
        <x:v>67.86863</x:v>
      </x:c>
      <x:c r="Q196" s="52" t="n">
        <x:f>P196-O196</x:f>
        <x:v>64.6803225</x:v>
      </x:c>
      <x:c r="R196" s="58" t="n">
        <x:v>96</x:v>
      </x:c>
      <x:c r="S196" s="58" t="n">
        <x:v>7</x:v>
      </x:c>
      <x:c r="T196" s="64" t="str">
        <x:v>profit_profitAmount</x:v>
      </x:c>
    </x:row>
    <x:row r="197">
      <x:c r="A197" s="61" t="str">
        <x:v>e28d9468f9f34af39e25eb89e15c8a9a</x:v>
      </x:c>
      <x:c r="B197" s="64" t="str">
        <x:v>B类：当前真实与预测均盈利，Top1增益超过当前预测误差</x:v>
      </x:c>
      <x:c r="C197" s="64" t="str">
        <x:v>高（1.5–2.0倍）</x:v>
      </x:c>
      <x:c r="D197" s="49" t="n">
        <x:v>46261</x:v>
      </x:c>
      <x:c r="E197" s="61" t="str">
        <x:v>10000304</x:v>
      </x:c>
      <x:c r="F197" s="46" t="str">
        <x:v>快手严选</x:v>
      </x:c>
      <x:c r="G197" s="52" t="n">
        <x:v>51.75</x:v>
      </x:c>
      <x:c r="H197" s="52" t="n">
        <x:v>19.96933</x:v>
      </x:c>
      <x:c r="I197" s="52" t="n">
        <x:f>ABS(G197-H197)</x:f>
        <x:v>31.78067</x:v>
      </x:c>
      <x:c r="J197" s="61" t="str">
        <x:v>10000183</x:v>
      </x:c>
      <x:c r="K197" s="46" t="str">
        <x:v>B站专线-盒子</x:v>
      </x:c>
      <x:c r="L197" s="52" t="n">
        <x:v>73.4604</x:v>
      </x:c>
      <x:c r="M197" s="52" t="n">
        <x:f>L197-H197</x:f>
        <x:v>53.49107000000001</x:v>
      </x:c>
      <x:c r="N197" s="55" t="n">
        <x:f>M197/MAX(I197,1)</x:f>
        <x:v>1.6831322310070873</x:v>
      </x:c>
      <x:c r="O197" s="52" t="n">
        <x:v>9.962481</x:v>
      </x:c>
      <x:c r="P197" s="52" t="n">
        <x:v>96.70382</x:v>
      </x:c>
      <x:c r="Q197" s="52" t="n">
        <x:f>P197-O197</x:f>
        <x:v>86.741339</x:v>
      </x:c>
      <x:c r="R197" s="58" t="n">
        <x:v>96</x:v>
      </x:c>
      <x:c r="S197" s="58" t="n">
        <x:v>7</x:v>
      </x:c>
      <x:c r="T197" s="64" t="str">
        <x:v>profit_profitAmount</x:v>
      </x:c>
    </x:row>
    <x:row r="198">
      <x:c r="A198" s="61" t="str">
        <x:v>e6ca109b4f8527f1554461755185f507</x:v>
      </x:c>
      <x:c r="B198" s="64" t="str">
        <x:v>B类：当前真实与预测均盈利，Top1增益超过当前预测误差</x:v>
      </x:c>
      <x:c r="C198" s="64" t="str">
        <x:v>高（1.5–2.0倍）</x:v>
      </x:c>
      <x:c r="D198" s="49" t="n">
        <x:v>46261</x:v>
      </x:c>
      <x:c r="E198" s="61" t="str">
        <x:v>10000278</x:v>
      </x:c>
      <x:c r="F198" s="46"/>
      <x:c r="G198" s="52" t="n">
        <x:v>13.42</x:v>
      </x:c>
      <x:c r="H198" s="52" t="n">
        <x:v>6.0854125</x:v>
      </x:c>
      <x:c r="I198" s="52" t="n">
        <x:f>ABS(G198-H198)</x:f>
        <x:v>7.3345875</x:v>
      </x:c>
      <x:c r="J198" s="61" t="str">
        <x:v>10000122</x:v>
      </x:c>
      <x:c r="K198" s="46" t="str">
        <x:v>金山云汇聚ern</x:v>
      </x:c>
      <x:c r="L198" s="52" t="n">
        <x:v>18.268013</x:v>
      </x:c>
      <x:c r="M198" s="52" t="n">
        <x:f>L198-H198</x:f>
        <x:v>12.1826005</x:v>
      </x:c>
      <x:c r="N198" s="55" t="n">
        <x:f>M198/MAX(I198,1)</x:f>
        <x:v>1.6609796392776008</x:v>
      </x:c>
      <x:c r="O198" s="52" t="n">
        <x:v>9.229963</x:v>
      </x:c>
      <x:c r="P198" s="52" t="n">
        <x:v>21.354952</x:v>
      </x:c>
      <x:c r="Q198" s="52" t="n">
        <x:f>P198-O198</x:f>
        <x:v>12.124989000000001</x:v>
      </x:c>
      <x:c r="R198" s="58" t="n">
        <x:v>114</x:v>
      </x:c>
      <x:c r="S198" s="58" t="n">
        <x:v>7</x:v>
      </x:c>
      <x:c r="T198" s="64" t="str">
        <x:v>profit_profitAmount</x:v>
      </x:c>
    </x:row>
    <x:row r="199">
      <x:c r="A199" s="61" t="str">
        <x:v>a49d391fc4c6d0c41ae38a285d465937</x:v>
      </x:c>
      <x:c r="B199" s="64" t="str">
        <x:v>B类：当前真实与预测均盈利，Top1增益超过当前预测误差</x:v>
      </x:c>
      <x:c r="C199" s="64" t="str">
        <x:v>高（1.5–2.0倍）</x:v>
      </x:c>
      <x:c r="D199" s="49" t="n">
        <x:v>46261</x:v>
      </x:c>
      <x:c r="E199" s="61" t="str">
        <x:v>10000291</x:v>
      </x:c>
      <x:c r="F199" s="46"/>
      <x:c r="G199" s="52" t="n">
        <x:v>43.34</x:v>
      </x:c>
      <x:c r="H199" s="52" t="n">
        <x:v>2.1707954</x:v>
      </x:c>
      <x:c r="I199" s="52" t="n">
        <x:f>ABS(G199-H199)</x:f>
        <x:v>41.1692046</x:v>
      </x:c>
      <x:c r="J199" s="61" t="str">
        <x:v>10000183</x:v>
      </x:c>
      <x:c r="K199" s="46" t="str">
        <x:v>B站专线-盒子</x:v>
      </x:c>
      <x:c r="L199" s="52" t="n">
        <x:v>69.9776</x:v>
      </x:c>
      <x:c r="M199" s="52" t="n">
        <x:f>L199-H199</x:f>
        <x:v>67.80680459999999</x:v>
      </x:c>
      <x:c r="N199" s="55" t="n">
        <x:f>M199/MAX(I199,1)</x:f>
        <x:v>1.6470273171126555</x:v>
      </x:c>
      <x:c r="O199" s="52" t="n">
        <x:v>11.398202</x:v>
      </x:c>
      <x:c r="P199" s="52" t="n">
        <x:v>74.17916</x:v>
      </x:c>
      <x:c r="Q199" s="52" t="n">
        <x:f>P199-O199</x:f>
        <x:v>62.780958</x:v>
      </x:c>
      <x:c r="R199" s="58" t="n">
        <x:v>96</x:v>
      </x:c>
      <x:c r="S199" s="58" t="n">
        <x:v>7</x:v>
      </x:c>
      <x:c r="T199" s="64" t="str">
        <x:v>profit_profitAmount</x:v>
      </x:c>
    </x:row>
    <x:row r="200">
      <x:c r="A200" s="61" t="str">
        <x:v>6c9b09043db68579bad0aae229df50e1</x:v>
      </x:c>
      <x:c r="B200" s="64" t="str">
        <x:v>B类：当前真实与预测均盈利，Top1增益超过当前预测误差</x:v>
      </x:c>
      <x:c r="C200" s="64" t="str">
        <x:v>高（1.5–2.0倍）</x:v>
      </x:c>
      <x:c r="D200" s="49" t="n">
        <x:v>46261</x:v>
      </x:c>
      <x:c r="E200" s="61" t="str">
        <x:v>1382680008</x:v>
      </x:c>
      <x:c r="F200" s="46" t="str">
        <x:v>字节CDN专线</x:v>
      </x:c>
      <x:c r="G200" s="52" t="n">
        <x:v>87</x:v>
      </x:c>
      <x:c r="H200" s="52" t="n">
        <x:v>130.94308</x:v>
      </x:c>
      <x:c r="I200" s="52" t="n">
        <x:f>ABS(G200-H200)</x:f>
        <x:v>43.94308000000001</x:v>
      </x:c>
      <x:c r="J200" s="61" t="str">
        <x:v>10000183</x:v>
      </x:c>
      <x:c r="K200" s="46" t="str">
        <x:v>B站专线-盒子</x:v>
      </x:c>
      <x:c r="L200" s="52" t="n">
        <x:v>203.01733</x:v>
      </x:c>
      <x:c r="M200" s="52" t="n">
        <x:f>L200-H200</x:f>
        <x:v>72.07424999999998</x:v>
      </x:c>
      <x:c r="N200" s="55" t="n">
        <x:f>M200/MAX(I200,1)</x:f>
        <x:v>1.6401729237003861</x:v>
      </x:c>
      <x:c r="O200" s="52" t="n">
        <x:v>142.66579</x:v>
      </x:c>
      <x:c r="P200" s="52" t="n">
        <x:v>172.84012</x:v>
      </x:c>
      <x:c r="Q200" s="52" t="n">
        <x:f>P200-O200</x:f>
        <x:v>30.174330000000026</x:v>
      </x:c>
      <x:c r="R200" s="58" t="n">
        <x:v>96</x:v>
      </x:c>
      <x:c r="S200" s="58" t="n">
        <x:v>7</x:v>
      </x:c>
      <x:c r="T200" s="64" t="str">
        <x:v>profit_profitAmount</x:v>
      </x:c>
    </x:row>
    <x:row r="201">
      <x:c r="A201" s="61" t="str">
        <x:v>cc7586e71b9508877768aabb143fe000</x:v>
      </x:c>
      <x:c r="B201" s="64" t="str">
        <x:v>B类：当前真实与预测均盈利，Top1增益超过当前预测误差</x:v>
      </x:c>
      <x:c r="C201" s="64" t="str">
        <x:v>高（1.5–2.0倍）</x:v>
      </x:c>
      <x:c r="D201" s="49" t="n">
        <x:v>46261</x:v>
      </x:c>
      <x:c r="E201" s="61" t="str">
        <x:v>10000074</x:v>
      </x:c>
      <x:c r="F201" s="46" t="str">
        <x:v>腾讯直连独立</x:v>
      </x:c>
      <x:c r="G201" s="52" t="n">
        <x:v>13.99</x:v>
      </x:c>
      <x:c r="H201" s="52" t="n">
        <x:v>0.8431015</x:v>
      </x:c>
      <x:c r="I201" s="52" t="n">
        <x:f>ABS(G201-H201)</x:f>
        <x:v>13.1468985</x:v>
      </x:c>
      <x:c r="J201" s="61" t="str">
        <x:v>1382490022</x:v>
      </x:c>
      <x:c r="K201" s="46" t="str">
        <x:v>快手盒子</x:v>
      </x:c>
      <x:c r="L201" s="52" t="n">
        <x:v>22.360477</x:v>
      </x:c>
      <x:c r="M201" s="52" t="n">
        <x:f>L201-H201</x:f>
        <x:v>21.5173755</x:v>
      </x:c>
      <x:c r="N201" s="55" t="n">
        <x:f>M201/MAX(I201,1)</x:f>
        <x:v>1.6366883413605118</x:v>
      </x:c>
      <x:c r="O201" s="52" t="n">
        <x:v>-5.672485</x:v>
      </x:c>
      <x:c r="P201" s="52" t="n">
        <x:v>1.0397654</x:v>
      </x:c>
      <x:c r="Q201" s="52" t="n">
        <x:f>P201-O201</x:f>
        <x:v>6.7122504</x:v>
      </x:c>
      <x:c r="R201" s="58" t="n">
        <x:v>76</x:v>
      </x:c>
      <x:c r="S201" s="58" t="n">
        <x:v>7</x:v>
      </x:c>
      <x:c r="T201" s="64" t="str">
        <x:v>profit_profitAmount</x:v>
      </x:c>
    </x:row>
    <x:row r="202">
      <x:c r="A202" s="61" t="str">
        <x:v>ce21280d04c1930e73f4029acc068024</x:v>
      </x:c>
      <x:c r="B202" s="64" t="str">
        <x:v>B类：当前真实与预测均盈利，Top1增益超过当前预测误差</x:v>
      </x:c>
      <x:c r="C202" s="64" t="str">
        <x:v>高（1.5–2.0倍）</x:v>
      </x:c>
      <x:c r="D202" s="49" t="n">
        <x:v>46261</x:v>
      </x:c>
      <x:c r="E202" s="61" t="str">
        <x:v>10000304</x:v>
      </x:c>
      <x:c r="F202" s="46" t="str">
        <x:v>快手严选</x:v>
      </x:c>
      <x:c r="G202" s="52" t="n">
        <x:v>54.96</x:v>
      </x:c>
      <x:c r="H202" s="52" t="n">
        <x:v>24.693466</x:v>
      </x:c>
      <x:c r="I202" s="52" t="n">
        <x:f>ABS(G202-H202)</x:f>
        <x:v>30.266534</x:v>
      </x:c>
      <x:c r="J202" s="61" t="str">
        <x:v>10000183</x:v>
      </x:c>
      <x:c r="K202" s="46" t="str">
        <x:v>B站专线-盒子</x:v>
      </x:c>
      <x:c r="L202" s="52" t="n">
        <x:v>74.221176</x:v>
      </x:c>
      <x:c r="M202" s="52" t="n">
        <x:f>L202-H202</x:f>
        <x:v>49.52771</x:v>
      </x:c>
      <x:c r="N202" s="55" t="n">
        <x:f>M202/MAX(I202,1)</x:f>
        <x:v>1.6363852564023353</x:v>
      </x:c>
      <x:c r="O202" s="52" t="n">
        <x:v>30.830185</x:v>
      </x:c>
      <x:c r="P202" s="52" t="n">
        <x:v>54.95118</x:v>
      </x:c>
      <x:c r="Q202" s="52" t="n">
        <x:f>P202-O202</x:f>
        <x:v>24.120995</x:v>
      </x:c>
      <x:c r="R202" s="58" t="n">
        <x:v>96</x:v>
      </x:c>
      <x:c r="S202" s="58" t="n">
        <x:v>7</x:v>
      </x:c>
      <x:c r="T202" s="64" t="str">
        <x:v>profit_profitAmount</x:v>
      </x:c>
    </x:row>
    <x:row r="203">
      <x:c r="A203" s="61" t="str">
        <x:v>6cc55decf2e0326a7a217bed8da6cd50</x:v>
      </x:c>
      <x:c r="B203" s="64" t="str">
        <x:v>B类：当前真实与预测均盈利，Top1增益超过当前预测误差</x:v>
      </x:c>
      <x:c r="C203" s="64" t="str">
        <x:v>高（1.5–2.0倍）</x:v>
      </x:c>
      <x:c r="D203" s="49" t="n">
        <x:v>46257</x:v>
      </x:c>
      <x:c r="E203" s="61" t="str">
        <x:v>10000295</x:v>
      </x:c>
      <x:c r="F203" s="46"/>
      <x:c r="G203" s="52" t="n">
        <x:v>22.54</x:v>
      </x:c>
      <x:c r="H203" s="52" t="n">
        <x:v>0</x:v>
      </x:c>
      <x:c r="I203" s="52" t="n">
        <x:f>ABS(G203-H203)</x:f>
        <x:v>22.54</x:v>
      </x:c>
      <x:c r="J203" s="61" t="str">
        <x:v>10000183</x:v>
      </x:c>
      <x:c r="K203" s="46" t="str">
        <x:v>B站专线-盒子</x:v>
      </x:c>
      <x:c r="L203" s="52" t="n">
        <x:v>35.79606</x:v>
      </x:c>
      <x:c r="M203" s="52" t="n">
        <x:f>L203-H203</x:f>
        <x:v>35.79606</x:v>
      </x:c>
      <x:c r="N203" s="55" t="n">
        <x:f>M203/MAX(I203,1)</x:f>
        <x:v>1.5881126885536823</x:v>
      </x:c>
      <x:c r="O203" s="52" t="n">
        <x:v>-15.260975</x:v>
      </x:c>
      <x:c r="P203" s="52" t="n">
        <x:v>57.237053</x:v>
      </x:c>
      <x:c r="Q203" s="52" t="n">
        <x:f>P203-O203</x:f>
        <x:v>72.498028</x:v>
      </x:c>
      <x:c r="R203" s="58" t="n">
        <x:v>96</x:v>
      </x:c>
      <x:c r="S203" s="58" t="n">
        <x:v>3</x:v>
      </x:c>
      <x:c r="T203" s="64" t="str">
        <x:v>profit_profitAmount</x:v>
      </x:c>
    </x:row>
    <x:row r="204">
      <x:c r="A204" s="61" t="str">
        <x:v>739d0a095a692a774adedfdeee4744d6</x:v>
      </x:c>
      <x:c r="B204" s="64" t="str">
        <x:v>B类：当前真实与预测均盈利，Top1增益超过当前预测误差</x:v>
      </x:c>
      <x:c r="C204" s="64" t="str">
        <x:v>高（1.5–2.0倍）</x:v>
      </x:c>
      <x:c r="D204" s="49" t="n">
        <x:v>46261</x:v>
      </x:c>
      <x:c r="E204" s="61" t="str">
        <x:v>10000292</x:v>
      </x:c>
      <x:c r="F204" s="46"/>
      <x:c r="G204" s="52" t="n">
        <x:v>38.93</x:v>
      </x:c>
      <x:c r="H204" s="52" t="n">
        <x:v>1.2017822</x:v>
      </x:c>
      <x:c r="I204" s="52" t="n">
        <x:f>ABS(G204-H204)</x:f>
        <x:v>37.7282178</x:v>
      </x:c>
      <x:c r="J204" s="61" t="str">
        <x:v>10000244</x:v>
      </x:c>
      <x:c r="K204" s="46" t="str">
        <x:v>B站专线-盒子V2</x:v>
      </x:c>
      <x:c r="L204" s="52" t="n">
        <x:v>60.973877</x:v>
      </x:c>
      <x:c r="M204" s="52" t="n">
        <x:f>L204-H204</x:f>
        <x:v>59.772094800000005</x:v>
      </x:c>
      <x:c r="N204" s="55" t="n">
        <x:f>M204/MAX(I204,1)</x:f>
        <x:v>1.584280898632853</x:v>
      </x:c>
      <x:c r="O204" s="52" t="n">
        <x:v>-4.0523343</x:v>
      </x:c>
      <x:c r="P204" s="52" t="n">
        <x:v>62.454647</x:v>
      </x:c>
      <x:c r="Q204" s="52" t="n">
        <x:f>P204-O204</x:f>
        <x:v>66.5069813</x:v>
      </x:c>
      <x:c r="R204" s="58" t="n">
        <x:v>1318</x:v>
      </x:c>
      <x:c r="S204" s="58" t="n">
        <x:v>6</x:v>
      </x:c>
      <x:c r="T204" s="64" t="str">
        <x:v>profit_profitAmount</x:v>
      </x:c>
    </x:row>
    <x:row r="205">
      <x:c r="A205" s="61" t="str">
        <x:v>f6b68a042c4646cf125a8336545593ae</x:v>
      </x:c>
      <x:c r="B205" s="64" t="str">
        <x:v>B类：当前真实与预测均盈利，Top1增益超过当前预测误差</x:v>
      </x:c>
      <x:c r="C205" s="64" t="str">
        <x:v>高（1.5–2.0倍）</x:v>
      </x:c>
      <x:c r="D205" s="49" t="n">
        <x:v>46261</x:v>
      </x:c>
      <x:c r="E205" s="61" t="str">
        <x:v>10000064</x:v>
      </x:c>
      <x:c r="F205" s="46" t="str">
        <x:v>百度小度</x:v>
      </x:c>
      <x:c r="G205" s="52" t="n">
        <x:v>108.06</x:v>
      </x:c>
      <x:c r="H205" s="52" t="n">
        <x:v>6.4538574</x:v>
      </x:c>
      <x:c r="I205" s="52" t="n">
        <x:f>ABS(G205-H205)</x:f>
        <x:v>101.6061426</x:v>
      </x:c>
      <x:c r="J205" s="61" t="str">
        <x:v>10000183</x:v>
      </x:c>
      <x:c r="K205" s="46" t="str">
        <x:v>B站专线-盒子</x:v>
      </x:c>
      <x:c r="L205" s="52" t="n">
        <x:v>166.7902</x:v>
      </x:c>
      <x:c r="M205" s="52" t="n">
        <x:f>L205-H205</x:f>
        <x:v>160.3363426</x:v>
      </x:c>
      <x:c r="N205" s="55" t="n">
        <x:f>M205/MAX(I205,1)</x:f>
        <x:v>1.5780182033994468</x:v>
      </x:c>
      <x:c r="O205" s="52" t="n">
        <x:v>15.285797</x:v>
      </x:c>
      <x:c r="P205" s="52" t="n">
        <x:v>239.76144</x:v>
      </x:c>
      <x:c r="Q205" s="52" t="n">
        <x:f>P205-O205</x:f>
        <x:v>224.475643</x:v>
      </x:c>
      <x:c r="R205" s="58" t="n">
        <x:v>96</x:v>
      </x:c>
      <x:c r="S205" s="58" t="n">
        <x:v>7</x:v>
      </x:c>
      <x:c r="T205" s="64" t="str">
        <x:v>profit_profitAmount</x:v>
      </x:c>
    </x:row>
    <x:row r="206">
      <x:c r="A206" s="61" t="str">
        <x:v>0e6be8b761d0e2db261babec95d13f47</x:v>
      </x:c>
      <x:c r="B206" s="64" t="str">
        <x:v>B类：当前真实与预测均盈利，Top1增益超过当前预测误差</x:v>
      </x:c>
      <x:c r="C206" s="64" t="str">
        <x:v>高（1.5–2.0倍）</x:v>
      </x:c>
      <x:c r="D206" s="49" t="n">
        <x:v>46261</x:v>
      </x:c>
      <x:c r="E206" s="61" t="str">
        <x:v>1380389889</x:v>
      </x:c>
      <x:c r="F206" s="46" t="str">
        <x:v>爱奇艺盒子</x:v>
      </x:c>
      <x:c r="G206" s="52" t="n">
        <x:v>11</x:v>
      </x:c>
      <x:c r="H206" s="52" t="n">
        <x:v>3.2626266</x:v>
      </x:c>
      <x:c r="I206" s="52" t="n">
        <x:f>ABS(G206-H206)</x:f>
        <x:v>7.7373734</x:v>
      </x:c>
      <x:c r="J206" s="61" t="str">
        <x:v>1382490022</x:v>
      </x:c>
      <x:c r="K206" s="46" t="str">
        <x:v>快手盒子</x:v>
      </x:c>
      <x:c r="L206" s="52" t="n">
        <x:v>15.273728</x:v>
      </x:c>
      <x:c r="M206" s="52" t="n">
        <x:f>L206-H206</x:f>
        <x:v>12.011101400000001</x:v>
      </x:c>
      <x:c r="N206" s="55" t="n">
        <x:f>M206/MAX(I206,1)</x:f>
        <x:v>1.5523486820475798</x:v>
      </x:c>
      <x:c r="O206" s="52" t="n">
        <x:v>6.920165</x:v>
      </x:c>
      <x:c r="P206" s="52" t="n">
        <x:v>23.921324</x:v>
      </x:c>
      <x:c r="Q206" s="52" t="n">
        <x:f>P206-O206</x:f>
        <x:v>17.001158999999998</x:v>
      </x:c>
      <x:c r="R206" s="58" t="n">
        <x:v>76</x:v>
      </x:c>
      <x:c r="S206" s="58" t="n">
        <x:v>7</x:v>
      </x:c>
      <x:c r="T206" s="64" t="str">
        <x:v>profit_profitAmount</x:v>
      </x:c>
    </x:row>
    <x:row r="207">
      <x:c r="A207" s="61" t="str">
        <x:v>f38c7886b2cd281743a32983bd370c7b</x:v>
      </x:c>
      <x:c r="B207" s="64" t="str">
        <x:v>B类：当前真实与预测均盈利，Top1增益超过当前预测误差</x:v>
      </x:c>
      <x:c r="C207" s="64" t="str">
        <x:v>高（1.5–2.0倍）</x:v>
      </x:c>
      <x:c r="D207" s="49" t="n">
        <x:v>46261</x:v>
      </x:c>
      <x:c r="E207" s="61" t="str">
        <x:v>10000292</x:v>
      </x:c>
      <x:c r="F207" s="46"/>
      <x:c r="G207" s="52" t="n">
        <x:v>8.13</x:v>
      </x:c>
      <x:c r="H207" s="52" t="n">
        <x:v>1.2869492</x:v>
      </x:c>
      <x:c r="I207" s="52" t="n">
        <x:f>ABS(G207-H207)</x:f>
        <x:v>6.8430508</x:v>
      </x:c>
      <x:c r="J207" s="61" t="str">
        <x:v>10000123</x:v>
      </x:c>
      <x:c r="K207" s="46" t="str">
        <x:v>金山云ern_HQ</x:v>
      </x:c>
      <x:c r="L207" s="52" t="n">
        <x:v>11.903664</x:v>
      </x:c>
      <x:c r="M207" s="52" t="n">
        <x:f>L207-H207</x:f>
        <x:v>10.616714799999999</x:v>
      </x:c>
      <x:c r="N207" s="55" t="n">
        <x:f>M207/MAX(I207,1)</x:f>
        <x:v>1.5514592994107246</x:v>
      </x:c>
      <x:c r="O207" s="52" t="n">
        <x:v>1.3705578</x:v>
      </x:c>
      <x:c r="P207" s="52" t="n">
        <x:v>13.159866</x:v>
      </x:c>
      <x:c r="Q207" s="52" t="n">
        <x:f>P207-O207</x:f>
        <x:v>11.789308199999999</x:v>
      </x:c>
      <x:c r="R207" s="58" t="n">
        <x:v>350</x:v>
      </x:c>
      <x:c r="S207" s="58" t="n">
        <x:v>7</x:v>
      </x:c>
      <x:c r="T207" s="64" t="str">
        <x:v>profit_profitAmount</x:v>
      </x:c>
    </x:row>
    <x:row r="208">
      <x:c r="A208" s="61" t="str">
        <x:v>9cc535f06addb75feebbf65dff3d1bd1</x:v>
      </x:c>
      <x:c r="B208" s="64" t="str">
        <x:v>B类：当前真实与预测均盈利，Top1增益超过当前预测误差</x:v>
      </x:c>
      <x:c r="C208" s="64" t="str">
        <x:v>高（1.5–2.0倍）</x:v>
      </x:c>
      <x:c r="D208" s="49" t="n">
        <x:v>46261</x:v>
      </x:c>
      <x:c r="E208" s="61" t="str">
        <x:v>10000304</x:v>
      </x:c>
      <x:c r="F208" s="46" t="str">
        <x:v>快手严选</x:v>
      </x:c>
      <x:c r="G208" s="52" t="n">
        <x:v>47.51</x:v>
      </x:c>
      <x:c r="H208" s="52" t="n">
        <x:v>0.37561798</x:v>
      </x:c>
      <x:c r="I208" s="52" t="n">
        <x:f>ABS(G208-H208)</x:f>
        <x:v>47.13438202</x:v>
      </x:c>
      <x:c r="J208" s="61" t="str">
        <x:v>10000183</x:v>
      </x:c>
      <x:c r="K208" s="46" t="str">
        <x:v>B站专线-盒子</x:v>
      </x:c>
      <x:c r="L208" s="52" t="n">
        <x:v>73.39223</x:v>
      </x:c>
      <x:c r="M208" s="52" t="n">
        <x:f>L208-H208</x:f>
        <x:v>73.01661202</x:v>
      </x:c>
      <x:c r="N208" s="55" t="n">
        <x:f>M208/MAX(I208,1)</x:f>
        <x:v>1.5491157174611452</x:v>
      </x:c>
      <x:c r="O208" s="52" t="n">
        <x:v>15.251093</x:v>
      </x:c>
      <x:c r="P208" s="52" t="n">
        <x:v>88.63077</x:v>
      </x:c>
      <x:c r="Q208" s="52" t="n">
        <x:f>P208-O208</x:f>
        <x:v>73.379677</x:v>
      </x:c>
      <x:c r="R208" s="58" t="n">
        <x:v>96</x:v>
      </x:c>
      <x:c r="S208" s="58" t="n">
        <x:v>7</x:v>
      </x:c>
      <x:c r="T208" s="64" t="str">
        <x:v>profit_profitAmount</x:v>
      </x:c>
    </x:row>
    <x:row r="209">
      <x:c r="A209" s="61" t="str">
        <x:v>81ce65d20d44c03dacdb9abebb4cda58</x:v>
      </x:c>
      <x:c r="B209" s="64" t="str">
        <x:v>B类：当前真实与预测均盈利，Top1增益超过当前预测误差</x:v>
      </x:c>
      <x:c r="C209" s="64" t="str">
        <x:v>高（1.5–2.0倍）</x:v>
      </x:c>
      <x:c r="D209" s="49" t="n">
        <x:v>46261</x:v>
      </x:c>
      <x:c r="E209" s="61" t="str">
        <x:v>1382680008</x:v>
      </x:c>
      <x:c r="F209" s="46" t="str">
        <x:v>字节CDN专线</x:v>
      </x:c>
      <x:c r="G209" s="52" t="n">
        <x:v>178.88</x:v>
      </x:c>
      <x:c r="H209" s="52" t="n">
        <x:v>193.64673</x:v>
      </x:c>
      <x:c r="I209" s="52" t="n">
        <x:f>ABS(G209-H209)</x:f>
        <x:v>14.766729999999995</x:v>
      </x:c>
      <x:c r="J209" s="61" t="str">
        <x:v>10000183</x:v>
      </x:c>
      <x:c r="K209" s="46" t="str">
        <x:v>B站专线-盒子</x:v>
      </x:c>
      <x:c r="L209" s="52" t="n">
        <x:v>216.40594</x:v>
      </x:c>
      <x:c r="M209" s="52" t="n">
        <x:f>L209-H209</x:f>
        <x:v>22.759209999999996</x:v>
      </x:c>
      <x:c r="N209" s="55" t="n">
        <x:f>M209/MAX(I209,1)</x:f>
        <x:v>1.5412491458840247</x:v>
      </x:c>
      <x:c r="O209" s="52" t="n">
        <x:v>181.82143</x:v>
      </x:c>
      <x:c r="P209" s="52" t="n">
        <x:v>206.72246</x:v>
      </x:c>
      <x:c r="Q209" s="52" t="n">
        <x:f>P209-O209</x:f>
        <x:v>24.90103000000002</x:v>
      </x:c>
      <x:c r="R209" s="58" t="n">
        <x:v>96</x:v>
      </x:c>
      <x:c r="S209" s="58" t="n">
        <x:v>7</x:v>
      </x:c>
      <x:c r="T209" s="64" t="str">
        <x:v>profit_profitAmount</x:v>
      </x:c>
    </x:row>
    <x:row r="210">
      <x:c r="A210" s="61" t="str">
        <x:v>53871f9078043b2e0601dc6846db1f00</x:v>
      </x:c>
      <x:c r="B210" s="64" t="str">
        <x:v>B类：当前真实与预测均盈利，Top1增益超过当前预测误差</x:v>
      </x:c>
      <x:c r="C210" s="64" t="str">
        <x:v>高（1.5–2.0倍）</x:v>
      </x:c>
      <x:c r="D210" s="49" t="n">
        <x:v>46261</x:v>
      </x:c>
      <x:c r="E210" s="61" t="str">
        <x:v>10000304</x:v>
      </x:c>
      <x:c r="F210" s="46" t="str">
        <x:v>快手严选</x:v>
      </x:c>
      <x:c r="G210" s="52" t="n">
        <x:v>53.79</x:v>
      </x:c>
      <x:c r="H210" s="52" t="n">
        <x:v>23.828186</x:v>
      </x:c>
      <x:c r="I210" s="52" t="n">
        <x:f>ABS(G210-H210)</x:f>
        <x:v>29.961814</x:v>
      </x:c>
      <x:c r="J210" s="61" t="str">
        <x:v>10000183</x:v>
      </x:c>
      <x:c r="K210" s="46" t="str">
        <x:v>B站专线-盒子</x:v>
      </x:c>
      <x:c r="L210" s="52" t="n">
        <x:v>69.75775</x:v>
      </x:c>
      <x:c r="M210" s="52" t="n">
        <x:f>L210-H210</x:f>
        <x:v>45.929564</x:v>
      </x:c>
      <x:c r="N210" s="55" t="n">
        <x:f>M210/MAX(I210,1)</x:f>
        <x:v>1.5329366906823465</x:v>
      </x:c>
      <x:c r="O210" s="52" t="n">
        <x:v>23.715853</x:v>
      </x:c>
      <x:c r="P210" s="52" t="n">
        <x:v>67.7479</x:v>
      </x:c>
      <x:c r="Q210" s="52" t="n">
        <x:f>P210-O210</x:f>
        <x:v>44.032047000000006</x:v>
      </x:c>
      <x:c r="R210" s="58" t="n">
        <x:v>96</x:v>
      </x:c>
      <x:c r="S210" s="58" t="n">
        <x:v>7</x:v>
      </x:c>
      <x:c r="T210" s="64" t="str">
        <x:v>profit_profitAmount</x:v>
      </x:c>
    </x:row>
    <x:row r="211">
      <x:c r="A211" s="61" t="str">
        <x:v>0fbe11fa24050650ecc6009b2cbf27f0</x:v>
      </x:c>
      <x:c r="B211" s="64" t="str">
        <x:v>B类：当前真实与预测均盈利，Top1增益超过当前预测误差</x:v>
      </x:c>
      <x:c r="C211" s="64" t="str">
        <x:v>高（1.5–2.0倍）</x:v>
      </x:c>
      <x:c r="D211" s="49" t="n">
        <x:v>46261</x:v>
      </x:c>
      <x:c r="E211" s="61" t="str">
        <x:v>10000034</x:v>
      </x:c>
      <x:c r="F211" s="46" t="str">
        <x:v>优酷专线</x:v>
      </x:c>
      <x:c r="G211" s="52" t="n">
        <x:v>26.42</x:v>
      </x:c>
      <x:c r="H211" s="52" t="n">
        <x:v>113.763336</x:v>
      </x:c>
      <x:c r="I211" s="52" t="n">
        <x:f>ABS(G211-H211)</x:f>
        <x:v>87.343336</x:v>
      </x:c>
      <x:c r="J211" s="61" t="str">
        <x:v>10000183</x:v>
      </x:c>
      <x:c r="K211" s="46" t="str">
        <x:v>B站专线-盒子</x:v>
      </x:c>
      <x:c r="L211" s="52" t="n">
        <x:v>247.64577</x:v>
      </x:c>
      <x:c r="M211" s="52" t="n">
        <x:f>L211-H211</x:f>
        <x:v>133.882434</x:v>
      </x:c>
      <x:c r="N211" s="55" t="n">
        <x:f>M211/MAX(I211,1)</x:f>
        <x:v>1.5328294078440055</x:v>
      </x:c>
      <x:c r="O211" s="52" t="n">
        <x:v>117.923874</x:v>
      </x:c>
      <x:c r="P211" s="52" t="n">
        <x:v>199.19792</x:v>
      </x:c>
      <x:c r="Q211" s="52" t="n">
        <x:f>P211-O211</x:f>
        <x:v>81.27404600000001</x:v>
      </x:c>
      <x:c r="R211" s="58" t="n">
        <x:v>96</x:v>
      </x:c>
      <x:c r="S211" s="58" t="n">
        <x:v>7</x:v>
      </x:c>
      <x:c r="T211" s="64" t="str">
        <x:v>profit_profitAmount</x:v>
      </x:c>
    </x:row>
    <x:row r="212">
      <x:c r="A212" s="61" t="str">
        <x:v>ef4d587b0860303cb61d1eec708b2219</x:v>
      </x:c>
      <x:c r="B212" s="64" t="str">
        <x:v>B类：当前真实与预测均盈利，Top1增益超过当前预测误差</x:v>
      </x:c>
      <x:c r="C212" s="64" t="str">
        <x:v>高（1.5–2.0倍）</x:v>
      </x:c>
      <x:c r="D212" s="49" t="n">
        <x:v>46261</x:v>
      </x:c>
      <x:c r="E212" s="61" t="str">
        <x:v>10000304</x:v>
      </x:c>
      <x:c r="F212" s="46" t="str">
        <x:v>快手严选</x:v>
      </x:c>
      <x:c r="G212" s="52" t="n">
        <x:v>51.89</x:v>
      </x:c>
      <x:c r="H212" s="52" t="n">
        <x:v>20.693192</x:v>
      </x:c>
      <x:c r="I212" s="52" t="n">
        <x:f>ABS(G212-H212)</x:f>
        <x:v>31.196808</x:v>
      </x:c>
      <x:c r="J212" s="61" t="str">
        <x:v>10000183</x:v>
      </x:c>
      <x:c r="K212" s="46" t="str">
        <x:v>B站专线-盒子</x:v>
      </x:c>
      <x:c r="L212" s="52" t="n">
        <x:v>68.31269</x:v>
      </x:c>
      <x:c r="M212" s="52" t="n">
        <x:f>L212-H212</x:f>
        <x:v>47.61949800000001</x:v>
      </x:c>
      <x:c r="N212" s="55" t="n">
        <x:f>M212/MAX(I212,1)</x:f>
        <x:v>1.5264221262636872</x:v>
      </x:c>
      <x:c r="O212" s="52" t="n">
        <x:v>19.506195</x:v>
      </x:c>
      <x:c r="P212" s="52" t="n">
        <x:v>66.74942</x:v>
      </x:c>
      <x:c r="Q212" s="52" t="n">
        <x:f>P212-O212</x:f>
        <x:v>47.243224999999995</x:v>
      </x:c>
      <x:c r="R212" s="58" t="n">
        <x:v>96</x:v>
      </x:c>
      <x:c r="S212" s="58" t="n">
        <x:v>7</x:v>
      </x:c>
      <x:c r="T212" s="64" t="str">
        <x:v>profit_profitAmount</x:v>
      </x:c>
    </x:row>
    <x:row r="213">
      <x:c r="A213" s="61" t="str">
        <x:v>d895befe1d3080a73ab638eddfe7bd72</x:v>
      </x:c>
      <x:c r="B213" s="64" t="str">
        <x:v>B类：当前真实与预测均盈利，Top1增益超过当前预测误差</x:v>
      </x:c>
      <x:c r="C213" s="64" t="str">
        <x:v>高（1.5–2.0倍）</x:v>
      </x:c>
      <x:c r="D213" s="49" t="n">
        <x:v>46261</x:v>
      </x:c>
      <x:c r="E213" s="61" t="str">
        <x:v>10000291</x:v>
      </x:c>
      <x:c r="F213" s="46"/>
      <x:c r="G213" s="52" t="n">
        <x:v>48.08</x:v>
      </x:c>
      <x:c r="H213" s="52" t="n">
        <x:v>1.8972359</x:v>
      </x:c>
      <x:c r="I213" s="52" t="n">
        <x:f>ABS(G213-H213)</x:f>
        <x:v>46.1827641</x:v>
      </x:c>
      <x:c r="J213" s="61" t="str">
        <x:v>10000183</x:v>
      </x:c>
      <x:c r="K213" s="46" t="str">
        <x:v>B站专线-盒子</x:v>
      </x:c>
      <x:c r="L213" s="52" t="n">
        <x:v>71.51764</x:v>
      </x:c>
      <x:c r="M213" s="52" t="n">
        <x:f>L213-H213</x:f>
        <x:v>69.6204041</x:v>
      </x:c>
      <x:c r="N213" s="55" t="n">
        <x:f>M213/MAX(I213,1)</x:f>
        <x:v>1.507497557947165</x:v>
      </x:c>
      <x:c r="O213" s="52" t="n">
        <x:v>8.500052</x:v>
      </x:c>
      <x:c r="P213" s="52" t="n">
        <x:v>74.00581</x:v>
      </x:c>
      <x:c r="Q213" s="52" t="n">
        <x:f>P213-O213</x:f>
        <x:v>65.505758</x:v>
      </x:c>
      <x:c r="R213" s="58" t="n">
        <x:v>96</x:v>
      </x:c>
      <x:c r="S213" s="58" t="n">
        <x:v>7</x:v>
      </x:c>
      <x:c r="T213" s="64" t="str">
        <x:v>profit_profitAmount</x:v>
      </x:c>
    </x:row>
    <x:row r="214">
      <x:c r="A214" s="61" t="str">
        <x:v>b24fae5e36627c91437da0fc8d1ae51f</x:v>
      </x:c>
      <x:c r="B214" s="64" t="str">
        <x:v>B类：当前真实与预测均盈利，Top1增益超过当前预测误差</x:v>
      </x:c>
      <x:c r="C214" s="64" t="str">
        <x:v>较高（1.0–1.5倍）</x:v>
      </x:c>
      <x:c r="D214" s="49" t="n">
        <x:v>46261</x:v>
      </x:c>
      <x:c r="E214" s="61" t="str">
        <x:v>10000292</x:v>
      </x:c>
      <x:c r="F214" s="46"/>
      <x:c r="G214" s="52" t="n">
        <x:v>27.19</x:v>
      </x:c>
      <x:c r="H214" s="52" t="n">
        <x:v>19.706467</x:v>
      </x:c>
      <x:c r="I214" s="52" t="n">
        <x:f>ABS(G214-H214)</x:f>
        <x:v>7.483533000000001</x:v>
      </x:c>
      <x:c r="J214" s="61" t="str">
        <x:v>1382490022</x:v>
      </x:c>
      <x:c r="K214" s="46" t="str">
        <x:v>快手盒子</x:v>
      </x:c>
      <x:c r="L214" s="52" t="n">
        <x:v>30.903618</x:v>
      </x:c>
      <x:c r="M214" s="52" t="n">
        <x:f>L214-H214</x:f>
        <x:v>11.197151000000002</x:v>
      </x:c>
      <x:c r="N214" s="55" t="n">
        <x:f>M214/MAX(I214,1)</x:f>
        <x:v>1.4962386081547312</x:v>
      </x:c>
      <x:c r="O214" s="52" t="n">
        <x:v>32.022957</x:v>
      </x:c>
      <x:c r="P214" s="52" t="n">
        <x:v>64.367386</x:v>
      </x:c>
      <x:c r="Q214" s="52" t="n">
        <x:f>P214-O214</x:f>
        <x:v>32.344429</x:v>
      </x:c>
      <x:c r="R214" s="58" t="n">
        <x:v>76</x:v>
      </x:c>
      <x:c r="S214" s="58" t="n">
        <x:v>7</x:v>
      </x:c>
      <x:c r="T214" s="64" t="str">
        <x:v>profit_profitAmount</x:v>
      </x:c>
    </x:row>
    <x:row r="215">
      <x:c r="A215" s="61" t="str">
        <x:v>aa2c853b0187f76cc7acd1c115ef3cf3</x:v>
      </x:c>
      <x:c r="B215" s="64" t="str">
        <x:v>B类：当前真实与预测均盈利，Top1增益超过当前预测误差</x:v>
      </x:c>
      <x:c r="C215" s="64" t="str">
        <x:v>较高（1.0–1.5倍）</x:v>
      </x:c>
      <x:c r="D215" s="49" t="n">
        <x:v>46261</x:v>
      </x:c>
      <x:c r="E215" s="61" t="str">
        <x:v>10000244</x:v>
      </x:c>
      <x:c r="F215" s="46" t="str">
        <x:v>B站专线-盒子V2</x:v>
      </x:c>
      <x:c r="G215" s="52" t="n">
        <x:v>120.08</x:v>
      </x:c>
      <x:c r="H215" s="52" t="n">
        <x:v>75.94824</x:v>
      </x:c>
      <x:c r="I215" s="52" t="n">
        <x:f>ABS(G215-H215)</x:f>
        <x:v>44.13176</x:v>
      </x:c>
      <x:c r="J215" s="61" t="str">
        <x:v>10000183</x:v>
      </x:c>
      <x:c r="K215" s="46" t="str">
        <x:v>B站专线-盒子</x:v>
      </x:c>
      <x:c r="L215" s="52" t="n">
        <x:v>141.29962</x:v>
      </x:c>
      <x:c r="M215" s="52" t="n">
        <x:f>L215-H215</x:f>
        <x:v>65.35138</x:v>
      </x:c>
      <x:c r="N215" s="55" t="n">
        <x:f>M215/MAX(I215,1)</x:f>
        <x:v>1.4808242408641759</x:v>
      </x:c>
      <x:c r="O215" s="52" t="n">
        <x:v>78.841934</x:v>
      </x:c>
      <x:c r="P215" s="52" t="n">
        <x:v>85.09094</x:v>
      </x:c>
      <x:c r="Q215" s="52" t="n">
        <x:f>P215-O215</x:f>
        <x:v>6.2490060000000085</x:v>
      </x:c>
      <x:c r="R215" s="58" t="n">
        <x:v>96</x:v>
      </x:c>
      <x:c r="S215" s="58" t="n">
        <x:v>7</x:v>
      </x:c>
      <x:c r="T215" s="64" t="str">
        <x:v>profit_profitAmount</x:v>
      </x:c>
    </x:row>
    <x:row r="216">
      <x:c r="A216" s="61" t="str">
        <x:v>5b2b93de68618287e4744ac54160dd2e</x:v>
      </x:c>
      <x:c r="B216" s="64" t="str">
        <x:v>B类：当前真实与预测均盈利，Top1增益超过当前预测误差</x:v>
      </x:c>
      <x:c r="C216" s="64" t="str">
        <x:v>较高（1.0–1.5倍）</x:v>
      </x:c>
      <x:c r="D216" s="49" t="n">
        <x:v>46261</x:v>
      </x:c>
      <x:c r="E216" s="61" t="str">
        <x:v>10000304</x:v>
      </x:c>
      <x:c r="F216" s="46" t="str">
        <x:v>快手严选</x:v>
      </x:c>
      <x:c r="G216" s="52" t="n">
        <x:v>40.78</x:v>
      </x:c>
      <x:c r="H216" s="52" t="n">
        <x:v>18.923248</x:v>
      </x:c>
      <x:c r="I216" s="52" t="n">
        <x:f>ABS(G216-H216)</x:f>
        <x:v>21.856752</x:v>
      </x:c>
      <x:c r="J216" s="61" t="str">
        <x:v>10000183</x:v>
      </x:c>
      <x:c r="K216" s="46" t="str">
        <x:v>B站专线-盒子</x:v>
      </x:c>
      <x:c r="L216" s="52" t="n">
        <x:v>51.07204</x:v>
      </x:c>
      <x:c r="M216" s="52" t="n">
        <x:f>L216-H216</x:f>
        <x:v>32.148792</x:v>
      </x:c>
      <x:c r="N216" s="55" t="n">
        <x:f>M216/MAX(I216,1)</x:f>
        <x:v>1.4708860676096795</x:v>
      </x:c>
      <x:c r="O216" s="52" t="n">
        <x:v>23.893696</x:v>
      </x:c>
      <x:c r="P216" s="52" t="n">
        <x:v>47.892677</x:v>
      </x:c>
      <x:c r="Q216" s="52" t="n">
        <x:f>P216-O216</x:f>
        <x:v>23.998981</x:v>
      </x:c>
      <x:c r="R216" s="58" t="n">
        <x:v>96</x:v>
      </x:c>
      <x:c r="S216" s="58" t="n">
        <x:v>7</x:v>
      </x:c>
      <x:c r="T216" s="64" t="str">
        <x:v>profit_profitAmount</x:v>
      </x:c>
    </x:row>
    <x:row r="217">
      <x:c r="A217" s="61" t="str">
        <x:v>c5018db672387f07e3f06cce70d5fbaf</x:v>
      </x:c>
      <x:c r="B217" s="64" t="str">
        <x:v>B类：当前真实与预测均盈利，Top1增益超过当前预测误差</x:v>
      </x:c>
      <x:c r="C217" s="64" t="str">
        <x:v>较高（1.0–1.5倍）</x:v>
      </x:c>
      <x:c r="D217" s="49" t="n">
        <x:v>46261</x:v>
      </x:c>
      <x:c r="E217" s="61" t="str">
        <x:v>10000074</x:v>
      </x:c>
      <x:c r="F217" s="46" t="str">
        <x:v>腾讯直连独立</x:v>
      </x:c>
      <x:c r="G217" s="52" t="n">
        <x:v>45.62</x:v>
      </x:c>
      <x:c r="H217" s="52" t="n">
        <x:v>1.8383789</x:v>
      </x:c>
      <x:c r="I217" s="52" t="n">
        <x:f>ABS(G217-H217)</x:f>
        <x:v>43.781621099999995</x:v>
      </x:c>
      <x:c r="J217" s="61" t="str">
        <x:v>1382490022</x:v>
      </x:c>
      <x:c r="K217" s="46" t="str">
        <x:v>快手盒子</x:v>
      </x:c>
      <x:c r="L217" s="52" t="n">
        <x:v>64.13706</x:v>
      </x:c>
      <x:c r="M217" s="52" t="n">
        <x:f>L217-H217</x:f>
        <x:v>62.2986811</x:v>
      </x:c>
      <x:c r="N217" s="55" t="n">
        <x:f>M217/MAX(I217,1)</x:f>
        <x:v>1.4229413972065097</x:v>
      </x:c>
      <x:c r="O217" s="52" t="n">
        <x:v>-1.679924</x:v>
      </x:c>
      <x:c r="P217" s="52" t="n">
        <x:v>77.074135</x:v>
      </x:c>
      <x:c r="Q217" s="52" t="n">
        <x:f>P217-O217</x:f>
        <x:v>78.754059</x:v>
      </x:c>
      <x:c r="R217" s="58" t="n">
        <x:v>76</x:v>
      </x:c>
      <x:c r="S217" s="58" t="n">
        <x:v>7</x:v>
      </x:c>
      <x:c r="T217" s="64" t="str">
        <x:v>profit_profitAmount</x:v>
      </x:c>
    </x:row>
    <x:row r="218">
      <x:c r="A218" s="61" t="str">
        <x:v>a29dfdabec7fe462c13650d5472bcc29</x:v>
      </x:c>
      <x:c r="B218" s="64" t="str">
        <x:v>B类：当前真实与预测均盈利，Top1增益超过当前预测误差</x:v>
      </x:c>
      <x:c r="C218" s="64" t="str">
        <x:v>较高（1.0–1.5倍）</x:v>
      </x:c>
      <x:c r="D218" s="49" t="n">
        <x:v>46261</x:v>
      </x:c>
      <x:c r="E218" s="61" t="str">
        <x:v>10000123</x:v>
      </x:c>
      <x:c r="F218" s="46" t="str">
        <x:v>金山云ern_HQ</x:v>
      </x:c>
      <x:c r="G218" s="52" t="n">
        <x:v>15.72</x:v>
      </x:c>
      <x:c r="H218" s="52" t="n">
        <x:v>0</x:v>
      </x:c>
      <x:c r="I218" s="52" t="n">
        <x:f>ABS(G218-H218)</x:f>
        <x:v>15.72</x:v>
      </x:c>
      <x:c r="J218" s="61" t="str">
        <x:v>10000122</x:v>
      </x:c>
      <x:c r="K218" s="46" t="str">
        <x:v>金山云汇聚ern</x:v>
      </x:c>
      <x:c r="L218" s="52" t="n">
        <x:v>22.083572</x:v>
      </x:c>
      <x:c r="M218" s="52" t="n">
        <x:f>L218-H218</x:f>
        <x:v>22.083572</x:v>
      </x:c>
      <x:c r="N218" s="55" t="n">
        <x:f>M218/MAX(I218,1)</x:f>
        <x:v>1.40480737913486</x:v>
      </x:c>
      <x:c r="O218" s="52" t="n">
        <x:v>-10.995201</x:v>
      </x:c>
      <x:c r="P218" s="52" t="n">
        <x:v>21.260298</x:v>
      </x:c>
      <x:c r="Q218" s="52" t="n">
        <x:f>P218-O218</x:f>
        <x:v>32.255499</x:v>
      </x:c>
      <x:c r="R218" s="58" t="n">
        <x:v>114</x:v>
      </x:c>
      <x:c r="S218" s="58" t="n">
        <x:v>7</x:v>
      </x:c>
      <x:c r="T218" s="64" t="str">
        <x:v>profit_profitAmount</x:v>
      </x:c>
    </x:row>
    <x:row r="219">
      <x:c r="A219" s="61" t="str">
        <x:v>c1076c28e936c1f82bc79768cd10666e</x:v>
      </x:c>
      <x:c r="B219" s="64" t="str">
        <x:v>B类：当前真实与预测均盈利，Top1增益超过当前预测误差</x:v>
      </x:c>
      <x:c r="C219" s="64" t="str">
        <x:v>较高（1.0–1.5倍）</x:v>
      </x:c>
      <x:c r="D219" s="49" t="n">
        <x:v>46261</x:v>
      </x:c>
      <x:c r="E219" s="61" t="str">
        <x:v>10000304</x:v>
      </x:c>
      <x:c r="F219" s="46" t="str">
        <x:v>快手严选</x:v>
      </x:c>
      <x:c r="G219" s="52" t="n">
        <x:v>46.64</x:v>
      </x:c>
      <x:c r="H219" s="52" t="n">
        <x:v>31.120407</x:v>
      </x:c>
      <x:c r="I219" s="52" t="n">
        <x:f>ABS(G219-H219)</x:f>
        <x:v>15.519593</x:v>
      </x:c>
      <x:c r="J219" s="61" t="str">
        <x:v>1382490022</x:v>
      </x:c>
      <x:c r="K219" s="46" t="str">
        <x:v>快手盒子</x:v>
      </x:c>
      <x:c r="L219" s="52" t="n">
        <x:v>52.875732</x:v>
      </x:c>
      <x:c r="M219" s="52" t="n">
        <x:f>L219-H219</x:f>
        <x:v>21.755325</x:v>
      </x:c>
      <x:c r="N219" s="55" t="n">
        <x:f>M219/MAX(I219,1)</x:f>
        <x:v>1.4017973924960532</x:v>
      </x:c>
      <x:c r="O219" s="52" t="n">
        <x:v>22.935165</x:v>
      </x:c>
      <x:c r="P219" s="52" t="n">
        <x:v>86.4955</x:v>
      </x:c>
      <x:c r="Q219" s="52" t="n">
        <x:f>P219-O219</x:f>
        <x:v>63.56033500000001</x:v>
      </x:c>
      <x:c r="R219" s="58" t="n">
        <x:v>76</x:v>
      </x:c>
      <x:c r="S219" s="58" t="n">
        <x:v>7</x:v>
      </x:c>
      <x:c r="T219" s="64" t="str">
        <x:v>profit_profitAmount</x:v>
      </x:c>
    </x:row>
    <x:row r="220">
      <x:c r="A220" s="61" t="str">
        <x:v>d6cc0050ef94e47f50d5ae7ed26703a5</x:v>
      </x:c>
      <x:c r="B220" s="64" t="str">
        <x:v>B类：当前真实与预测均盈利，Top1增益超过当前预测误差</x:v>
      </x:c>
      <x:c r="C220" s="64" t="str">
        <x:v>较高（1.0–1.5倍）</x:v>
      </x:c>
      <x:c r="D220" s="49" t="n">
        <x:v>46261</x:v>
      </x:c>
      <x:c r="E220" s="61" t="str">
        <x:v>10000304</x:v>
      </x:c>
      <x:c r="F220" s="46" t="str">
        <x:v>快手严选</x:v>
      </x:c>
      <x:c r="G220" s="52" t="n">
        <x:v>61.25</x:v>
      </x:c>
      <x:c r="H220" s="52" t="n">
        <x:v>25.32373</x:v>
      </x:c>
      <x:c r="I220" s="52" t="n">
        <x:f>ABS(G220-H220)</x:f>
        <x:v>35.92627</x:v>
      </x:c>
      <x:c r="J220" s="61" t="str">
        <x:v>10000183</x:v>
      </x:c>
      <x:c r="K220" s="46" t="str">
        <x:v>B站专线-盒子</x:v>
      </x:c>
      <x:c r="L220" s="52" t="n">
        <x:v>74.5659</x:v>
      </x:c>
      <x:c r="M220" s="52" t="n">
        <x:f>L220-H220</x:f>
        <x:v>49.24217</x:v>
      </x:c>
      <x:c r="N220" s="55" t="n">
        <x:f>M220/MAX(I220,1)</x:f>
        <x:v>1.3706452130989384</x:v>
      </x:c>
      <x:c r="O220" s="52" t="n">
        <x:v>30.415817</x:v>
      </x:c>
      <x:c r="P220" s="52" t="n">
        <x:v>56.611034</x:v>
      </x:c>
      <x:c r="Q220" s="52" t="n">
        <x:f>P220-O220</x:f>
        <x:v>26.195216999999996</x:v>
      </x:c>
      <x:c r="R220" s="58" t="n">
        <x:v>96</x:v>
      </x:c>
      <x:c r="S220" s="58" t="n">
        <x:v>7</x:v>
      </x:c>
      <x:c r="T220" s="64" t="str">
        <x:v>profit_profitAmount</x:v>
      </x:c>
    </x:row>
    <x:row r="221">
      <x:c r="A221" s="61" t="str">
        <x:v>d47c551e2f88db47830e5adf8d27286b</x:v>
      </x:c>
      <x:c r="B221" s="64" t="str">
        <x:v>B类：当前真实与预测均盈利，Top1增益超过当前预测误差</x:v>
      </x:c>
      <x:c r="C221" s="64" t="str">
        <x:v>较高（1.0–1.5倍）</x:v>
      </x:c>
      <x:c r="D221" s="49" t="n">
        <x:v>46261</x:v>
      </x:c>
      <x:c r="E221" s="61" t="str">
        <x:v>10000064</x:v>
      </x:c>
      <x:c r="F221" s="46" t="str">
        <x:v>百度小度</x:v>
      </x:c>
      <x:c r="G221" s="52" t="n">
        <x:v>124.93</x:v>
      </x:c>
      <x:c r="H221" s="52" t="n">
        <x:v>8.110657</x:v>
      </x:c>
      <x:c r="I221" s="52" t="n">
        <x:f>ABS(G221-H221)</x:f>
        <x:v>116.819343</x:v>
      </x:c>
      <x:c r="J221" s="61" t="str">
        <x:v>10000183</x:v>
      </x:c>
      <x:c r="K221" s="46" t="str">
        <x:v>B站专线-盒子</x:v>
      </x:c>
      <x:c r="L221" s="52" t="n">
        <x:v>167.03587</x:v>
      </x:c>
      <x:c r="M221" s="52" t="n">
        <x:f>L221-H221</x:f>
        <x:v>158.92521299999999</x:v>
      </x:c>
      <x:c r="N221" s="55" t="n">
        <x:f>M221/MAX(I221,1)</x:f>
        <x:v>1.3604357713259865</x:v>
      </x:c>
      <x:c r="O221" s="52" t="n">
        <x:v>12.563051</x:v>
      </x:c>
      <x:c r="P221" s="52" t="n">
        <x:v>239.41824</x:v>
      </x:c>
      <x:c r="Q221" s="52" t="n">
        <x:f>P221-O221</x:f>
        <x:v>226.855189</x:v>
      </x:c>
      <x:c r="R221" s="58" t="n">
        <x:v>96</x:v>
      </x:c>
      <x:c r="S221" s="58" t="n">
        <x:v>7</x:v>
      </x:c>
      <x:c r="T221" s="64" t="str">
        <x:v>profit_profitAmount</x:v>
      </x:c>
    </x:row>
    <x:row r="222">
      <x:c r="A222" s="61" t="str">
        <x:v>c00c1ceed1784f255ba9ee194ab77450</x:v>
      </x:c>
      <x:c r="B222" s="64" t="str">
        <x:v>B类：当前真实与预测均盈利，Top1增益超过当前预测误差</x:v>
      </x:c>
      <x:c r="C222" s="64" t="str">
        <x:v>较高（1.0–1.5倍）</x:v>
      </x:c>
      <x:c r="D222" s="49" t="n">
        <x:v>46261</x:v>
      </x:c>
      <x:c r="E222" s="61" t="str">
        <x:v>10000304</x:v>
      </x:c>
      <x:c r="F222" s="46" t="str">
        <x:v>快手严选</x:v>
      </x:c>
      <x:c r="G222" s="52" t="n">
        <x:v>47.8</x:v>
      </x:c>
      <x:c r="H222" s="52" t="n">
        <x:v>20.128616</x:v>
      </x:c>
      <x:c r="I222" s="52" t="n">
        <x:f>ABS(G222-H222)</x:f>
        <x:v>27.671383999999996</x:v>
      </x:c>
      <x:c r="J222" s="61" t="str">
        <x:v>10000183</x:v>
      </x:c>
      <x:c r="K222" s="46" t="str">
        <x:v>B站专线-盒子</x:v>
      </x:c>
      <x:c r="L222" s="52" t="n">
        <x:v>57.046864</x:v>
      </x:c>
      <x:c r="M222" s="52" t="n">
        <x:f>L222-H222</x:f>
        <x:v>36.918248</x:v>
      </x:c>
      <x:c r="N222" s="55" t="n">
        <x:f>M222/MAX(I222,1)</x:f>
        <x:v>1.3341670225096078</x:v>
      </x:c>
      <x:c r="O222" s="52" t="n">
        <x:v>25.123287</x:v>
      </x:c>
      <x:c r="P222" s="52" t="n">
        <x:v>46.850685</x:v>
      </x:c>
      <x:c r="Q222" s="52" t="n">
        <x:f>P222-O222</x:f>
        <x:v>21.727397999999997</x:v>
      </x:c>
      <x:c r="R222" s="58" t="n">
        <x:v>96</x:v>
      </x:c>
      <x:c r="S222" s="58" t="n">
        <x:v>7</x:v>
      </x:c>
      <x:c r="T222" s="64" t="str">
        <x:v>profit_profitAmount</x:v>
      </x:c>
    </x:row>
    <x:row r="223">
      <x:c r="A223" s="61" t="str">
        <x:v>e650ea6b050b1656055653588868a76b</x:v>
      </x:c>
      <x:c r="B223" s="64" t="str">
        <x:v>B类：当前真实与预测均盈利，Top1增益超过当前预测误差</x:v>
      </x:c>
      <x:c r="C223" s="64" t="str">
        <x:v>较高（1.0–1.5倍）</x:v>
      </x:c>
      <x:c r="D223" s="49" t="n">
        <x:v>46261</x:v>
      </x:c>
      <x:c r="E223" s="61" t="str">
        <x:v>10000079</x:v>
      </x:c>
      <x:c r="F223" s="46" t="str">
        <x:v>字节架构汇聚V2</x:v>
      </x:c>
      <x:c r="G223" s="52" t="n">
        <x:v>120.24</x:v>
      </x:c>
      <x:c r="H223" s="52" t="n">
        <x:v>36.441437</x:v>
      </x:c>
      <x:c r="I223" s="52" t="n">
        <x:f>ABS(G223-H223)</x:f>
        <x:v>83.798563</x:v>
      </x:c>
      <x:c r="J223" s="61" t="str">
        <x:v>10000183</x:v>
      </x:c>
      <x:c r="K223" s="46" t="str">
        <x:v>B站专线-盒子</x:v>
      </x:c>
      <x:c r="L223" s="52" t="n">
        <x:v>148.15646</x:v>
      </x:c>
      <x:c r="M223" s="52" t="n">
        <x:f>L223-H223</x:f>
        <x:v>111.715023</x:v>
      </x:c>
      <x:c r="N223" s="55" t="n">
        <x:f>M223/MAX(I223,1)</x:f>
        <x:v>1.3331376935425492</x:v>
      </x:c>
      <x:c r="O223" s="52" t="n">
        <x:v>18.85648</x:v>
      </x:c>
      <x:c r="P223" s="52" t="n">
        <x:v>210.1846</x:v>
      </x:c>
      <x:c r="Q223" s="52" t="n">
        <x:f>P223-O223</x:f>
        <x:v>191.32811999999998</x:v>
      </x:c>
      <x:c r="R223" s="58" t="n">
        <x:v>96</x:v>
      </x:c>
      <x:c r="S223" s="58" t="n">
        <x:v>7</x:v>
      </x:c>
      <x:c r="T223" s="64" t="str">
        <x:v>profit_profitAmount</x:v>
      </x:c>
    </x:row>
    <x:row r="224">
      <x:c r="A224" s="61" t="str">
        <x:v>9022bb8edd2596040d6762c5b6a471a2</x:v>
      </x:c>
      <x:c r="B224" s="64" t="str">
        <x:v>B类：当前真实与预测均盈利，Top1增益超过当前预测误差</x:v>
      </x:c>
      <x:c r="C224" s="64" t="str">
        <x:v>较高（1.0–1.5倍）</x:v>
      </x:c>
      <x:c r="D224" s="49" t="n">
        <x:v>46261</x:v>
      </x:c>
      <x:c r="E224" s="61" t="str">
        <x:v>10000304</x:v>
      </x:c>
      <x:c r="F224" s="46" t="str">
        <x:v>快手严选</x:v>
      </x:c>
      <x:c r="G224" s="52" t="n">
        <x:v>52.77</x:v>
      </x:c>
      <x:c r="H224" s="52" t="n">
        <x:v>22.702759</x:v>
      </x:c>
      <x:c r="I224" s="52" t="n">
        <x:f>ABS(G224-H224)</x:f>
        <x:v>30.067241000000003</x:v>
      </x:c>
      <x:c r="J224" s="61" t="str">
        <x:v>10000183</x:v>
      </x:c>
      <x:c r="K224" s="46" t="str">
        <x:v>B站专线-盒子</x:v>
      </x:c>
      <x:c r="L224" s="52" t="n">
        <x:v>62.730713</x:v>
      </x:c>
      <x:c r="M224" s="52" t="n">
        <x:f>L224-H224</x:f>
        <x:v>40.027954</x:v>
      </x:c>
      <x:c r="N224" s="55" t="n">
        <x:f>M224/MAX(I224,1)</x:f>
        <x:v>1.3312812439292316</x:v>
      </x:c>
      <x:c r="O224" s="52" t="n">
        <x:v>31.170542</x:v>
      </x:c>
      <x:c r="P224" s="52" t="n">
        <x:v>72.27533</x:v>
      </x:c>
      <x:c r="Q224" s="52" t="n">
        <x:f>P224-O224</x:f>
        <x:v>41.104788</x:v>
      </x:c>
      <x:c r="R224" s="58" t="n">
        <x:v>96</x:v>
      </x:c>
      <x:c r="S224" s="58" t="n">
        <x:v>7</x:v>
      </x:c>
      <x:c r="T224" s="64" t="str">
        <x:v>profit_profitAmount</x:v>
      </x:c>
    </x:row>
    <x:row r="225">
      <x:c r="A225" s="61" t="str">
        <x:v>2e33f1cfe00d10ceb16759935b2d1243</x:v>
      </x:c>
      <x:c r="B225" s="64" t="str">
        <x:v>B类：当前真实与预测均盈利，Top1增益超过当前预测误差</x:v>
      </x:c>
      <x:c r="C225" s="64" t="str">
        <x:v>较高（1.0–1.5倍）</x:v>
      </x:c>
      <x:c r="D225" s="49" t="n">
        <x:v>46261</x:v>
      </x:c>
      <x:c r="E225" s="61" t="str">
        <x:v>10000019</x:v>
      </x:c>
      <x:c r="F225" s="46" t="str">
        <x:v>B站盒子</x:v>
      </x:c>
      <x:c r="G225" s="52" t="n">
        <x:v>10.38</x:v>
      </x:c>
      <x:c r="H225" s="52" t="n">
        <x:v>0</x:v>
      </x:c>
      <x:c r="I225" s="52" t="n">
        <x:f>ABS(G225-H225)</x:f>
        <x:v>10.38</x:v>
      </x:c>
      <x:c r="J225" s="61" t="str">
        <x:v>10000048</x:v>
      </x:c>
      <x:c r="K225" s="46" t="str">
        <x:v>优酷汇聚</x:v>
      </x:c>
      <x:c r="L225" s="52" t="n">
        <x:v>13.744125</x:v>
      </x:c>
      <x:c r="M225" s="52" t="n">
        <x:f>L225-H225</x:f>
        <x:v>13.744125</x:v>
      </x:c>
      <x:c r="N225" s="55" t="n">
        <x:f>M225/MAX(I225,1)</x:f>
        <x:v>1.3240968208092485</x:v>
      </x:c>
      <x:c r="O225" s="52" t="n">
        <x:v>-9.2593</x:v>
      </x:c>
      <x:c r="P225" s="52" t="n">
        <x:v>10.4582205</x:v>
      </x:c>
      <x:c r="Q225" s="52" t="n">
        <x:f>P225-O225</x:f>
        <x:v>19.7175205</x:v>
      </x:c>
      <x:c r="R225" s="58" t="n">
        <x:v>34</x:v>
      </x:c>
      <x:c r="S225" s="58" t="n">
        <x:v>7</x:v>
      </x:c>
      <x:c r="T225" s="64" t="str">
        <x:v>profit_profitAmount</x:v>
      </x:c>
    </x:row>
    <x:row r="226">
      <x:c r="A226" s="61" t="str">
        <x:v>79a0057089734bb7f0d221d7705976d6</x:v>
      </x:c>
      <x:c r="B226" s="64" t="str">
        <x:v>B类：当前真实与预测均盈利，Top1增益超过当前预测误差</x:v>
      </x:c>
      <x:c r="C226" s="64" t="str">
        <x:v>较高（1.0–1.5倍）</x:v>
      </x:c>
      <x:c r="D226" s="49" t="n">
        <x:v>46261</x:v>
      </x:c>
      <x:c r="E226" s="61" t="str">
        <x:v>10000304</x:v>
      </x:c>
      <x:c r="F226" s="46" t="str">
        <x:v>快手严选</x:v>
      </x:c>
      <x:c r="G226" s="52" t="n">
        <x:v>11.08</x:v>
      </x:c>
      <x:c r="H226" s="52" t="n">
        <x:v>4.3371983</x:v>
      </x:c>
      <x:c r="I226" s="52" t="n">
        <x:f>ABS(G226-H226)</x:f>
        <x:v>6.7428017</x:v>
      </x:c>
      <x:c r="J226" s="61" t="str">
        <x:v>10000292</x:v>
      </x:c>
      <x:c r="K226" s="46" t="str">
        <x:v>__MISSING__</x:v>
      </x:c>
      <x:c r="L226" s="52" t="n">
        <x:v>13.257425</x:v>
      </x:c>
      <x:c r="M226" s="52" t="n">
        <x:f>L226-H226</x:f>
        <x:v>8.9202267</x:v>
      </x:c>
      <x:c r="N226" s="55" t="n">
        <x:f>M226/MAX(I226,1)</x:f>
        <x:v>1.3229258543966969</x:v>
      </x:c>
      <x:c r="O226" s="52" t="n">
        <x:v>2.8659883</x:v>
      </x:c>
      <x:c r="P226" s="52" t="n">
        <x:v>21.545137</x:v>
      </x:c>
      <x:c r="Q226" s="52" t="n">
        <x:f>P226-O226</x:f>
        <x:v>18.6791487</x:v>
      </x:c>
      <x:c r="R226" s="58" t="n">
        <x:v>1647</x:v>
      </x:c>
      <x:c r="S226" s="58" t="n">
        <x:v>7</x:v>
      </x:c>
      <x:c r="T226" s="64" t="str">
        <x:v>profit_profitAmount</x:v>
      </x:c>
    </x:row>
    <x:row r="227">
      <x:c r="A227" s="61" t="str">
        <x:v>ea1e452feb6c34c7e89006b8e617a5dc</x:v>
      </x:c>
      <x:c r="B227" s="64" t="str">
        <x:v>B类：当前真实与预测均盈利，Top1增益超过当前预测误差</x:v>
      </x:c>
      <x:c r="C227" s="64" t="str">
        <x:v>较高（1.0–1.5倍）</x:v>
      </x:c>
      <x:c r="D227" s="49" t="n">
        <x:v>46261</x:v>
      </x:c>
      <x:c r="E227" s="61" t="str">
        <x:v>10000304</x:v>
      </x:c>
      <x:c r="F227" s="46" t="str">
        <x:v>快手严选</x:v>
      </x:c>
      <x:c r="G227" s="52" t="n">
        <x:v>56.86</x:v>
      </x:c>
      <x:c r="H227" s="52" t="n">
        <x:v>28.81253</x:v>
      </x:c>
      <x:c r="I227" s="52" t="n">
        <x:f>ABS(G227-H227)</x:f>
        <x:v>28.04747</x:v>
      </x:c>
      <x:c r="J227" s="61" t="str">
        <x:v>10000183</x:v>
      </x:c>
      <x:c r="K227" s="46" t="str">
        <x:v>B站专线-盒子</x:v>
      </x:c>
      <x:c r="L227" s="52" t="n">
        <x:v>65.54994</x:v>
      </x:c>
      <x:c r="M227" s="52" t="n">
        <x:f>L227-H227</x:f>
        <x:v>36.73741000000001</x:v>
      </x:c>
      <x:c r="N227" s="55" t="n">
        <x:f>M227/MAX(I227,1)</x:f>
        <x:v>1.3098297279576379</x:v>
      </x:c>
      <x:c r="O227" s="52" t="n">
        <x:v>30.630308</x:v>
      </x:c>
      <x:c r="P227" s="52" t="n">
        <x:v>51.84197</x:v>
      </x:c>
      <x:c r="Q227" s="52" t="n">
        <x:f>P227-O227</x:f>
        <x:v>21.211662000000004</x:v>
      </x:c>
      <x:c r="R227" s="58" t="n">
        <x:v>96</x:v>
      </x:c>
      <x:c r="S227" s="58" t="n">
        <x:v>7</x:v>
      </x:c>
      <x:c r="T227" s="64" t="str">
        <x:v>profit_profitAmount</x:v>
      </x:c>
    </x:row>
    <x:row r="228">
      <x:c r="A228" s="61" t="str">
        <x:v>38e13247c55ed25eadf318c33ce1f8cd</x:v>
      </x:c>
      <x:c r="B228" s="64" t="str">
        <x:v>B类：当前真实与预测均盈利，Top1增益超过当前预测误差</x:v>
      </x:c>
      <x:c r="C228" s="64" t="str">
        <x:v>较高（1.0–1.5倍）</x:v>
      </x:c>
      <x:c r="D228" s="49" t="n">
        <x:v>46261</x:v>
      </x:c>
      <x:c r="E228" s="61" t="str">
        <x:v>10000291</x:v>
      </x:c>
      <x:c r="F228" s="46"/>
      <x:c r="G228" s="52" t="n">
        <x:v>47.6</x:v>
      </x:c>
      <x:c r="H228" s="52" t="n">
        <x:v>7.5857773</x:v>
      </x:c>
      <x:c r="I228" s="52" t="n">
        <x:f>ABS(G228-H228)</x:f>
        <x:v>40.014222700000005</x:v>
      </x:c>
      <x:c r="J228" s="61" t="str">
        <x:v>10000183</x:v>
      </x:c>
      <x:c r="K228" s="46" t="str">
        <x:v>B站专线-盒子</x:v>
      </x:c>
      <x:c r="L228" s="52" t="n">
        <x:v>59.63941</x:v>
      </x:c>
      <x:c r="M228" s="52" t="n">
        <x:f>L228-H228</x:f>
        <x:v>52.053632699999994</x:v>
      </x:c>
      <x:c r="N228" s="55" t="n">
        <x:f>M228/MAX(I228,1)</x:f>
        <x:v>1.3008782674666322</x:v>
      </x:c>
      <x:c r="O228" s="52" t="n">
        <x:v>6.7506056</x:v>
      </x:c>
      <x:c r="P228" s="52" t="n">
        <x:v>47.766926</x:v>
      </x:c>
      <x:c r="Q228" s="52" t="n">
        <x:f>P228-O228</x:f>
        <x:v>41.0163204</x:v>
      </x:c>
      <x:c r="R228" s="58" t="n">
        <x:v>96</x:v>
      </x:c>
      <x:c r="S228" s="58" t="n">
        <x:v>7</x:v>
      </x:c>
      <x:c r="T228" s="64" t="str">
        <x:v>profit_profitAmount</x:v>
      </x:c>
    </x:row>
    <x:row r="229">
      <x:c r="A229" s="61" t="str">
        <x:v>a23436dbbcac4922a74b921e73b89954</x:v>
      </x:c>
      <x:c r="B229" s="64" t="str">
        <x:v>B类：当前真实与预测均盈利，Top1增益超过当前预测误差</x:v>
      </x:c>
      <x:c r="C229" s="64" t="str">
        <x:v>较高（1.0–1.5倍）</x:v>
      </x:c>
      <x:c r="D229" s="49" t="n">
        <x:v>46261</x:v>
      </x:c>
      <x:c r="E229" s="61" t="str">
        <x:v>10000079</x:v>
      </x:c>
      <x:c r="F229" s="46" t="str">
        <x:v>字节架构汇聚V2</x:v>
      </x:c>
      <x:c r="G229" s="52" t="n">
        <x:v>27.89</x:v>
      </x:c>
      <x:c r="H229" s="52" t="n">
        <x:v>2.1714058</x:v>
      </x:c>
      <x:c r="I229" s="52" t="n">
        <x:f>ABS(G229-H229)</x:f>
        <x:v>25.718594200000002</x:v>
      </x:c>
      <x:c r="J229" s="61" t="str">
        <x:v>1382490022</x:v>
      </x:c>
      <x:c r="K229" s="46" t="str">
        <x:v>快手盒子</x:v>
      </x:c>
      <x:c r="L229" s="52" t="n">
        <x:v>34.030422</x:v>
      </x:c>
      <x:c r="M229" s="52" t="n">
        <x:f>L229-H229</x:f>
        <x:v>31.859016200000003</x:v>
      </x:c>
      <x:c r="N229" s="55" t="n">
        <x:f>M229/MAX(I229,1)</x:f>
        <x:v>1.2387541850946115</x:v>
      </x:c>
      <x:c r="O229" s="52" t="n">
        <x:v>4.4341145</x:v>
      </x:c>
      <x:c r="P229" s="52" t="n">
        <x:v>51.5412</x:v>
      </x:c>
      <x:c r="Q229" s="52" t="n">
        <x:f>P229-O229</x:f>
        <x:v>47.107085500000004</x:v>
      </x:c>
      <x:c r="R229" s="58" t="n">
        <x:v>76</x:v>
      </x:c>
      <x:c r="S229" s="58" t="n">
        <x:v>7</x:v>
      </x:c>
      <x:c r="T229" s="64" t="str">
        <x:v>profit_profitAmount</x:v>
      </x:c>
    </x:row>
    <x:row r="230">
      <x:c r="A230" s="61" t="str">
        <x:v>90b4835b4b5695f18fc288d2ee554ec7</x:v>
      </x:c>
      <x:c r="B230" s="64" t="str">
        <x:v>B类：当前真实与预测均盈利，Top1增益超过当前预测误差</x:v>
      </x:c>
      <x:c r="C230" s="64" t="str">
        <x:v>较高（1.0–1.5倍）</x:v>
      </x:c>
      <x:c r="D230" s="49" t="n">
        <x:v>46261</x:v>
      </x:c>
      <x:c r="E230" s="61" t="str">
        <x:v>10000304</x:v>
      </x:c>
      <x:c r="F230" s="46" t="str">
        <x:v>快手严选</x:v>
      </x:c>
      <x:c r="G230" s="52" t="n">
        <x:v>58.76</x:v>
      </x:c>
      <x:c r="H230" s="52" t="n">
        <x:v>20.493591</x:v>
      </x:c>
      <x:c r="I230" s="52" t="n">
        <x:f>ABS(G230-H230)</x:f>
        <x:v>38.266408999999996</x:v>
      </x:c>
      <x:c r="J230" s="61" t="str">
        <x:v>10000183</x:v>
      </x:c>
      <x:c r="K230" s="46" t="str">
        <x:v>B站专线-盒子</x:v>
      </x:c>
      <x:c r="L230" s="52" t="n">
        <x:v>67.66803</x:v>
      </x:c>
      <x:c r="M230" s="52" t="n">
        <x:f>L230-H230</x:f>
        <x:v>47.17443900000001</x:v>
      </x:c>
      <x:c r="N230" s="55" t="n">
        <x:f>M230/MAX(I230,1)</x:f>
        <x:v>1.2327898078965291</x:v>
      </x:c>
      <x:c r="O230" s="52" t="n">
        <x:v>19.356827</x:v>
      </x:c>
      <x:c r="P230" s="52" t="n">
        <x:v>66.73515</x:v>
      </x:c>
      <x:c r="Q230" s="52" t="n">
        <x:f>P230-O230</x:f>
        <x:v>47.37832300000001</x:v>
      </x:c>
      <x:c r="R230" s="58" t="n">
        <x:v>96</x:v>
      </x:c>
      <x:c r="S230" s="58" t="n">
        <x:v>7</x:v>
      </x:c>
      <x:c r="T230" s="64" t="str">
        <x:v>profit_profitAmount</x:v>
      </x:c>
    </x:row>
    <x:row r="231">
      <x:c r="A231" s="61" t="str">
        <x:v>49fa902734c36b40fd464b3186b24244</x:v>
      </x:c>
      <x:c r="B231" s="64" t="str">
        <x:v>B类：当前真实与预测均盈利，Top1增益超过当前预测误差</x:v>
      </x:c>
      <x:c r="C231" s="64" t="str">
        <x:v>较高（1.0–1.5倍）</x:v>
      </x:c>
      <x:c r="D231" s="49" t="n">
        <x:v>46261</x:v>
      </x:c>
      <x:c r="E231" s="61" t="str">
        <x:v>10000291</x:v>
      </x:c>
      <x:c r="F231" s="46"/>
      <x:c r="G231" s="52" t="n">
        <x:v>50.44</x:v>
      </x:c>
      <x:c r="H231" s="52" t="n">
        <x:v>2.001419</x:v>
      </x:c>
      <x:c r="I231" s="52" t="n">
        <x:f>ABS(G231-H231)</x:f>
        <x:v>48.438581</x:v>
      </x:c>
      <x:c r="J231" s="61" t="str">
        <x:v>10000183</x:v>
      </x:c>
      <x:c r="K231" s="46" t="str">
        <x:v>B站专线-盒子</x:v>
      </x:c>
      <x:c r="L231" s="52" t="n">
        <x:v>61.56249</x:v>
      </x:c>
      <x:c r="M231" s="52" t="n">
        <x:f>L231-H231</x:f>
        <x:v>59.561071</x:v>
      </x:c>
      <x:c r="N231" s="55" t="n">
        <x:f>M231/MAX(I231,1)</x:f>
        <x:v>1.2296204754635567</x:v>
      </x:c>
      <x:c r="O231" s="52" t="n">
        <x:v>8.687185</x:v>
      </x:c>
      <x:c r="P231" s="52" t="n">
        <x:v>47.652843</x:v>
      </x:c>
      <x:c r="Q231" s="52" t="n">
        <x:f>P231-O231</x:f>
        <x:v>38.965658</x:v>
      </x:c>
      <x:c r="R231" s="58" t="n">
        <x:v>96</x:v>
      </x:c>
      <x:c r="S231" s="58" t="n">
        <x:v>7</x:v>
      </x:c>
      <x:c r="T231" s="64" t="str">
        <x:v>profit_profitAmount</x:v>
      </x:c>
    </x:row>
    <x:row r="232">
      <x:c r="A232" s="61" t="str">
        <x:v>fe368443202726a96b9275b614691064</x:v>
      </x:c>
      <x:c r="B232" s="64" t="str">
        <x:v>B类：当前真实与预测均盈利，Top1增益超过当前预测误差</x:v>
      </x:c>
      <x:c r="C232" s="64" t="str">
        <x:v>较高（1.0–1.5倍）</x:v>
      </x:c>
      <x:c r="D232" s="49" t="n">
        <x:v>46261</x:v>
      </x:c>
      <x:c r="E232" s="61" t="str">
        <x:v>10000304</x:v>
      </x:c>
      <x:c r="F232" s="46" t="str">
        <x:v>快手严选</x:v>
      </x:c>
      <x:c r="G232" s="52" t="n">
        <x:v>64.43</x:v>
      </x:c>
      <x:c r="H232" s="52" t="n">
        <x:v>31.528427</x:v>
      </x:c>
      <x:c r="I232" s="52" t="n">
        <x:f>ABS(G232-H232)</x:f>
        <x:v>32.901573000000006</x:v>
      </x:c>
      <x:c r="J232" s="61" t="str">
        <x:v>10000183</x:v>
      </x:c>
      <x:c r="K232" s="46" t="str">
        <x:v>B站专线-盒子</x:v>
      </x:c>
      <x:c r="L232" s="52" t="n">
        <x:v>71.705376</x:v>
      </x:c>
      <x:c r="M232" s="52" t="n">
        <x:f>L232-H232</x:f>
        <x:v>40.176949</x:v>
      </x:c>
      <x:c r="N232" s="55" t="n">
        <x:f>M232/MAX(I232,1)</x:f>
        <x:v>1.2211254762804196</x:v>
      </x:c>
      <x:c r="O232" s="52" t="n">
        <x:v>23.774517</x:v>
      </x:c>
      <x:c r="P232" s="52" t="n">
        <x:v>49.68889</x:v>
      </x:c>
      <x:c r="Q232" s="52" t="n">
        <x:f>P232-O232</x:f>
        <x:v>25.914373</x:v>
      </x:c>
      <x:c r="R232" s="58" t="n">
        <x:v>96</x:v>
      </x:c>
      <x:c r="S232" s="58" t="n">
        <x:v>7</x:v>
      </x:c>
      <x:c r="T232" s="64" t="str">
        <x:v>profit_profitAmount</x:v>
      </x:c>
    </x:row>
    <x:row r="233">
      <x:c r="A233" s="61" t="str">
        <x:v>1c7bc68d30556a112b8f8c28ea9be7dc</x:v>
      </x:c>
      <x:c r="B233" s="64" t="str">
        <x:v>B类：当前真实与预测均盈利，Top1增益超过当前预测误差</x:v>
      </x:c>
      <x:c r="C233" s="64" t="str">
        <x:v>较高（1.0–1.5倍）</x:v>
      </x:c>
      <x:c r="D233" s="49" t="n">
        <x:v>46261</x:v>
      </x:c>
      <x:c r="E233" s="61" t="str">
        <x:v>10000292</x:v>
      </x:c>
      <x:c r="F233" s="46"/>
      <x:c r="G233" s="52" t="n">
        <x:v>9.54</x:v>
      </x:c>
      <x:c r="H233" s="52" t="n">
        <x:v>3.0900955</x:v>
      </x:c>
      <x:c r="I233" s="52" t="n">
        <x:f>ABS(G233-H233)</x:f>
        <x:v>6.449904499999999</x:v>
      </x:c>
      <x:c r="J233" s="61" t="str">
        <x:v>1382522065</x:v>
      </x:c>
      <x:c r="K233" s="46" t="str">
        <x:v>字节架构汇聚</x:v>
      </x:c>
      <x:c r="L233" s="52" t="n">
        <x:v>10.877778</x:v>
      </x:c>
      <x:c r="M233" s="52" t="n">
        <x:f>L233-H233</x:f>
        <x:v>7.787682499999999</x:v>
      </x:c>
      <x:c r="N233" s="55" t="n">
        <x:f>M233/MAX(I233,1)</x:f>
        <x:v>1.2074105128223216</x:v>
      </x:c>
      <x:c r="O233" s="52" t="n">
        <x:v>-2.9421434</x:v>
      </x:c>
      <x:c r="P233" s="52" t="n">
        <x:v>24.579279</x:v>
      </x:c>
      <x:c r="Q233" s="52" t="n">
        <x:f>P233-O233</x:f>
        <x:v>27.5214224</x:v>
      </x:c>
      <x:c r="R233" s="58" t="n">
        <x:v>19</x:v>
      </x:c>
      <x:c r="S233" s="58" t="n">
        <x:v>7</x:v>
      </x:c>
      <x:c r="T233" s="64" t="str">
        <x:v>profit_profitAmount</x:v>
      </x:c>
    </x:row>
    <x:row r="234">
      <x:c r="A234" s="61" t="str">
        <x:v>229888a0dd014810813246e1c38cee64</x:v>
      </x:c>
      <x:c r="B234" s="64" t="str">
        <x:v>B类：当前真实与预测均盈利，Top1增益超过当前预测误差</x:v>
      </x:c>
      <x:c r="C234" s="64" t="str">
        <x:v>较高（1.0–1.5倍）</x:v>
      </x:c>
      <x:c r="D234" s="49" t="n">
        <x:v>46261</x:v>
      </x:c>
      <x:c r="E234" s="61" t="str">
        <x:v>10000123</x:v>
      </x:c>
      <x:c r="F234" s="46" t="str">
        <x:v>金山云ern_HQ</x:v>
      </x:c>
      <x:c r="G234" s="52" t="n">
        <x:v>35.66</x:v>
      </x:c>
      <x:c r="H234" s="52" t="n">
        <x:v>26.718178</x:v>
      </x:c>
      <x:c r="I234" s="52" t="n">
        <x:f>ABS(G234-H234)</x:f>
        <x:v>8.941821999999995</x:v>
      </x:c>
      <x:c r="J234" s="61" t="str">
        <x:v>10000122</x:v>
      </x:c>
      <x:c r="K234" s="46" t="str">
        <x:v>金山云汇聚ern</x:v>
      </x:c>
      <x:c r="L234" s="52" t="n">
        <x:v>37.29846</x:v>
      </x:c>
      <x:c r="M234" s="52" t="n">
        <x:f>L234-H234</x:f>
        <x:v>10.580281999999997</x:v>
      </x:c>
      <x:c r="N234" s="55" t="n">
        <x:f>M234/MAX(I234,1)</x:f>
        <x:v>1.1832355866623159</x:v>
      </x:c>
      <x:c r="O234" s="52" t="n">
        <x:v>22.40122</x:v>
      </x:c>
      <x:c r="P234" s="52" t="n">
        <x:v>36.05478</x:v>
      </x:c>
      <x:c r="Q234" s="52" t="n">
        <x:f>P234-O234</x:f>
        <x:v>13.653560000000002</x:v>
      </x:c>
      <x:c r="R234" s="58" t="n">
        <x:v>114</x:v>
      </x:c>
      <x:c r="S234" s="58" t="n">
        <x:v>7</x:v>
      </x:c>
      <x:c r="T234" s="64" t="str">
        <x:v>profit_profitAmount</x:v>
      </x:c>
    </x:row>
    <x:row r="235">
      <x:c r="A235" s="61" t="str">
        <x:v>ee6ca53d44f7128d2706f378ab3ad0c4</x:v>
      </x:c>
      <x:c r="B235" s="64" t="str">
        <x:v>B类：当前真实与预测均盈利，Top1增益超过当前预测误差</x:v>
      </x:c>
      <x:c r="C235" s="64" t="str">
        <x:v>较高（1.0–1.5倍）</x:v>
      </x:c>
      <x:c r="D235" s="49" t="n">
        <x:v>46261</x:v>
      </x:c>
      <x:c r="E235" s="61" t="str">
        <x:v>10000244</x:v>
      </x:c>
      <x:c r="F235" s="46" t="str">
        <x:v>B站专线-盒子V2</x:v>
      </x:c>
      <x:c r="G235" s="52" t="n">
        <x:v>22.47</x:v>
      </x:c>
      <x:c r="H235" s="52" t="n">
        <x:v>1.4098854</x:v>
      </x:c>
      <x:c r="I235" s="52" t="n">
        <x:f>ABS(G235-H235)</x:f>
        <x:v>21.0601146</x:v>
      </x:c>
      <x:c r="J235" s="61" t="str">
        <x:v>10000183</x:v>
      </x:c>
      <x:c r="K235" s="46" t="str">
        <x:v>B站专线-盒子</x:v>
      </x:c>
      <x:c r="L235" s="52" t="n">
        <x:v>26.26366</x:v>
      </x:c>
      <x:c r="M235" s="52" t="n">
        <x:f>L235-H235</x:f>
        <x:v>24.8537746</x:v>
      </x:c>
      <x:c r="N235" s="55" t="n">
        <x:f>M235/MAX(I235,1)</x:f>
        <x:v>1.1801348222483083</x:v>
      </x:c>
      <x:c r="O235" s="52" t="n">
        <x:v>-5.460048</x:v>
      </x:c>
      <x:c r="P235" s="52" t="n">
        <x:v>117.46131</x:v>
      </x:c>
      <x:c r="Q235" s="52" t="n">
        <x:f>P235-O235</x:f>
        <x:v>122.921358</x:v>
      </x:c>
      <x:c r="R235" s="58" t="n">
        <x:v>96</x:v>
      </x:c>
      <x:c r="S235" s="58" t="n">
        <x:v>7</x:v>
      </x:c>
      <x:c r="T235" s="64" t="str">
        <x:v>profit_profitAmount</x:v>
      </x:c>
    </x:row>
    <x:row r="236">
      <x:c r="A236" s="61" t="str">
        <x:v>21165ab637c90d86cbd5ec70e49ce187</x:v>
      </x:c>
      <x:c r="B236" s="64" t="str">
        <x:v>B类：当前真实与预测均盈利，Top1增益超过当前预测误差</x:v>
      </x:c>
      <x:c r="C236" s="64" t="str">
        <x:v>较高（1.0–1.5倍）</x:v>
      </x:c>
      <x:c r="D236" s="49" t="n">
        <x:v>46257</x:v>
      </x:c>
      <x:c r="E236" s="61" t="str">
        <x:v>10000069</x:v>
      </x:c>
      <x:c r="F236" s="46" t="str">
        <x:v>腾讯汇聚P2P</x:v>
      </x:c>
      <x:c r="G236" s="52" t="n">
        <x:v>5.69</x:v>
      </x:c>
      <x:c r="H236" s="52" t="n">
        <x:v>46.423103</x:v>
      </x:c>
      <x:c r="I236" s="52" t="n">
        <x:f>ABS(G236-H236)</x:f>
        <x:v>40.733103</x:v>
      </x:c>
      <x:c r="J236" s="61" t="str">
        <x:v>10000183</x:v>
      </x:c>
      <x:c r="K236" s="46" t="str">
        <x:v>B站专线-盒子</x:v>
      </x:c>
      <x:c r="L236" s="52" t="n">
        <x:v>93.85931</x:v>
      </x:c>
      <x:c r="M236" s="52" t="n">
        <x:f>L236-H236</x:f>
        <x:v>47.436206999999996</x:v>
      </x:c>
      <x:c r="N236" s="55" t="n">
        <x:f>M236/MAX(I236,1)</x:f>
        <x:v>1.1645615852050357</x:v>
      </x:c>
      <x:c r="O236" s="52" t="n">
        <x:v>37.81615</x:v>
      </x:c>
      <x:c r="P236" s="52" t="n">
        <x:v>57.247963</x:v>
      </x:c>
      <x:c r="Q236" s="52" t="n">
        <x:f>P236-O236</x:f>
        <x:v>19.431813</x:v>
      </x:c>
      <x:c r="R236" s="58" t="n">
        <x:v>96</x:v>
      </x:c>
      <x:c r="S236" s="58" t="n">
        <x:v>3</x:v>
      </x:c>
      <x:c r="T236" s="64" t="str">
        <x:v>profit_profitAmount</x:v>
      </x:c>
    </x:row>
    <x:row r="237">
      <x:c r="A237" s="61" t="str">
        <x:v>93032ee6cad5450b03bc97ba6c159d11</x:v>
      </x:c>
      <x:c r="B237" s="64" t="str">
        <x:v>B类：当前真实与预测均盈利，Top1增益超过当前预测误差</x:v>
      </x:c>
      <x:c r="C237" s="64" t="str">
        <x:v>较高（1.0–1.5倍）</x:v>
      </x:c>
      <x:c r="D237" s="49" t="n">
        <x:v>46261</x:v>
      </x:c>
      <x:c r="E237" s="61" t="str">
        <x:v>1380389889</x:v>
      </x:c>
      <x:c r="F237" s="46" t="str">
        <x:v>爱奇艺盒子</x:v>
      </x:c>
      <x:c r="G237" s="52" t="n">
        <x:v>16.66</x:v>
      </x:c>
      <x:c r="H237" s="52" t="n">
        <x:v>0</x:v>
      </x:c>
      <x:c r="I237" s="52" t="n">
        <x:f>ABS(G237-H237)</x:f>
        <x:v>16.66</x:v>
      </x:c>
      <x:c r="J237" s="61" t="str">
        <x:v>1382490022</x:v>
      </x:c>
      <x:c r="K237" s="46" t="str">
        <x:v>快手盒子</x:v>
      </x:c>
      <x:c r="L237" s="52" t="n">
        <x:v>19.329926</x:v>
      </x:c>
      <x:c r="M237" s="52" t="n">
        <x:f>L237-H237</x:f>
        <x:v>19.329926</x:v>
      </x:c>
      <x:c r="N237" s="55" t="n">
        <x:f>M237/MAX(I237,1)</x:f>
        <x:v>1.1602596638655462</x:v>
      </x:c>
      <x:c r="O237" s="52" t="n">
        <x:v>-6.167412</x:v>
      </x:c>
      <x:c r="P237" s="52" t="n">
        <x:v>15.729279</x:v>
      </x:c>
      <x:c r="Q237" s="52" t="n">
        <x:f>P237-O237</x:f>
        <x:v>21.896691</x:v>
      </x:c>
      <x:c r="R237" s="58" t="n">
        <x:v>76</x:v>
      </x:c>
      <x:c r="S237" s="58" t="n">
        <x:v>2</x:v>
      </x:c>
      <x:c r="T237" s="64" t="str">
        <x:v>profit_profitAmount</x:v>
      </x:c>
    </x:row>
    <x:row r="238">
      <x:c r="A238" s="61" t="str">
        <x:v>ddb9b79cfadbd4e3aaad1f4edafc00c3</x:v>
      </x:c>
      <x:c r="B238" s="64" t="str">
        <x:v>B类：当前真实与预测均盈利，Top1增益超过当前预测误差</x:v>
      </x:c>
      <x:c r="C238" s="64" t="str">
        <x:v>较高（1.0–1.5倍）</x:v>
      </x:c>
      <x:c r="D238" s="49" t="n">
        <x:v>46261</x:v>
      </x:c>
      <x:c r="E238" s="61" t="str">
        <x:v>10000244</x:v>
      </x:c>
      <x:c r="F238" s="46" t="str">
        <x:v>B站专线-盒子V2</x:v>
      </x:c>
      <x:c r="G238" s="52" t="n">
        <x:v>40.41</x:v>
      </x:c>
      <x:c r="H238" s="52" t="n">
        <x:v>21.894485</x:v>
      </x:c>
      <x:c r="I238" s="52" t="n">
        <x:f>ABS(G238-H238)</x:f>
        <x:v>18.515514999999997</x:v>
      </x:c>
      <x:c r="J238" s="61" t="str">
        <x:v>1382490022</x:v>
      </x:c>
      <x:c r="K238" s="46" t="str">
        <x:v>快手盒子</x:v>
      </x:c>
      <x:c r="L238" s="52" t="n">
        <x:v>43.149914</x:v>
      </x:c>
      <x:c r="M238" s="52" t="n">
        <x:f>L238-H238</x:f>
        <x:v>21.255429000000003</x:v>
      </x:c>
      <x:c r="N238" s="55" t="n">
        <x:f>M238/MAX(I238,1)</x:f>
        <x:v>1.1479793567718752</x:v>
      </x:c>
      <x:c r="O238" s="52" t="n">
        <x:v>27.42792</x:v>
      </x:c>
      <x:c r="P238" s="52" t="n">
        <x:v>32.03269</x:v>
      </x:c>
      <x:c r="Q238" s="52" t="n">
        <x:f>P238-O238</x:f>
        <x:v>4.604770000000002</x:v>
      </x:c>
      <x:c r="R238" s="58" t="n">
        <x:v>76</x:v>
      </x:c>
      <x:c r="S238" s="58" t="n">
        <x:v>7</x:v>
      </x:c>
      <x:c r="T238" s="64" t="str">
        <x:v>profit_profitAmount</x:v>
      </x:c>
    </x:row>
    <x:row r="239">
      <x:c r="A239" s="61" t="str">
        <x:v>cd1b74d6ad26806bfdf0bd6f9d4ef9f7</x:v>
      </x:c>
      <x:c r="B239" s="64" t="str">
        <x:v>B类：当前真实与预测均盈利，Top1增益超过当前预测误差</x:v>
      </x:c>
      <x:c r="C239" s="64" t="str">
        <x:v>较高（1.0–1.5倍）</x:v>
      </x:c>
      <x:c r="D239" s="49" t="n">
        <x:v>46255</x:v>
      </x:c>
      <x:c r="E239" s="61" t="str">
        <x:v>10000123</x:v>
      </x:c>
      <x:c r="F239" s="46" t="str">
        <x:v>金山云ern_HQ</x:v>
      </x:c>
      <x:c r="G239" s="52" t="n">
        <x:v>48.8</x:v>
      </x:c>
      <x:c r="H239" s="52" t="n">
        <x:v>0</x:v>
      </x:c>
      <x:c r="I239" s="52" t="n">
        <x:f>ABS(G239-H239)</x:f>
        <x:v>48.8</x:v>
      </x:c>
      <x:c r="J239" s="61" t="str">
        <x:v>10000183</x:v>
      </x:c>
      <x:c r="K239" s="46" t="str">
        <x:v>B站专线-盒子</x:v>
      </x:c>
      <x:c r="L239" s="52" t="n">
        <x:v>55.99259</x:v>
      </x:c>
      <x:c r="M239" s="52" t="n">
        <x:f>L239-H239</x:f>
        <x:v>55.99259</x:v>
      </x:c>
      <x:c r="N239" s="55" t="n">
        <x:f>M239/MAX(I239,1)</x:f>
        <x:v>1.1473891393442623</x:v>
      </x:c>
      <x:c r="O239" s="52" t="n">
        <x:v>-7.6821947</x:v>
      </x:c>
      <x:c r="P239" s="52" t="n">
        <x:v>52.917454</x:v>
      </x:c>
      <x:c r="Q239" s="52" t="n">
        <x:f>P239-O239</x:f>
        <x:v>60.5996487</x:v>
      </x:c>
      <x:c r="R239" s="58" t="n">
        <x:v>96</x:v>
      </x:c>
      <x:c r="S239" s="58" t="n">
        <x:v>1</x:v>
      </x:c>
      <x:c r="T239" s="64" t="str">
        <x:v>profit_profitAmount</x:v>
      </x:c>
    </x:row>
    <x:row r="240">
      <x:c r="A240" s="61" t="str">
        <x:v>7ff733ac2ab716be9ab8a60f4bcdc6ad</x:v>
      </x:c>
      <x:c r="B240" s="64" t="str">
        <x:v>B类：当前真实与预测均盈利，Top1增益超过当前预测误差</x:v>
      </x:c>
      <x:c r="C240" s="64" t="str">
        <x:v>较高（1.0–1.5倍）</x:v>
      </x:c>
      <x:c r="D240" s="49" t="n">
        <x:v>46261</x:v>
      </x:c>
      <x:c r="E240" s="61" t="str">
        <x:v>10000064</x:v>
      </x:c>
      <x:c r="F240" s="46" t="str">
        <x:v>百度小度</x:v>
      </x:c>
      <x:c r="G240" s="52" t="n">
        <x:v>6.44</x:v>
      </x:c>
      <x:c r="H240" s="52" t="n">
        <x:v>0</x:v>
      </x:c>
      <x:c r="I240" s="52" t="n">
        <x:f>ABS(G240-H240)</x:f>
        <x:v>6.44</x:v>
      </x:c>
      <x:c r="J240" s="61" t="str">
        <x:v>1382490022</x:v>
      </x:c>
      <x:c r="K240" s="46" t="str">
        <x:v>快手盒子</x:v>
      </x:c>
      <x:c r="L240" s="52" t="n">
        <x:v>7.371263</x:v>
      </x:c>
      <x:c r="M240" s="52" t="n">
        <x:f>L240-H240</x:f>
        <x:v>7.371263</x:v>
      </x:c>
      <x:c r="N240" s="55" t="n">
        <x:f>M240/MAX(I240,1)</x:f>
        <x:v>1.144606055900621</x:v>
      </x:c>
      <x:c r="O240" s="52" t="n">
        <x:v>4.454393</x:v>
      </x:c>
      <x:c r="P240" s="52" t="n">
        <x:v>28.23279</x:v>
      </x:c>
      <x:c r="Q240" s="52" t="n">
        <x:f>P240-O240</x:f>
        <x:v>23.778397000000002</x:v>
      </x:c>
      <x:c r="R240" s="58" t="n">
        <x:v>76</x:v>
      </x:c>
      <x:c r="S240" s="58" t="n">
        <x:v>7</x:v>
      </x:c>
      <x:c r="T240" s="64" t="str">
        <x:v>profit_profitAmount</x:v>
      </x:c>
    </x:row>
    <x:row r="241">
      <x:c r="A241" s="61" t="str">
        <x:v>d4e0cafa3f5629b7d22e2bcd325c0083</x:v>
      </x:c>
      <x:c r="B241" s="64" t="str">
        <x:v>B类：当前真实与预测均盈利，Top1增益超过当前预测误差</x:v>
      </x:c>
      <x:c r="C241" s="64" t="str">
        <x:v>较高（1.0–1.5倍）</x:v>
      </x:c>
      <x:c r="D241" s="49" t="n">
        <x:v>46260</x:v>
      </x:c>
      <x:c r="E241" s="61" t="str">
        <x:v>10000064</x:v>
      </x:c>
      <x:c r="F241" s="46" t="str">
        <x:v>百度小度</x:v>
      </x:c>
      <x:c r="G241" s="52" t="n">
        <x:v>12.93</x:v>
      </x:c>
      <x:c r="H241" s="52" t="n">
        <x:v>17.014263</x:v>
      </x:c>
      <x:c r="I241" s="52" t="n">
        <x:f>ABS(G241-H241)</x:f>
        <x:v>4.084263</x:v>
      </x:c>
      <x:c r="J241" s="61" t="str">
        <x:v>10000122</x:v>
      </x:c>
      <x:c r="K241" s="46" t="str">
        <x:v>金山云汇聚ern</x:v>
      </x:c>
      <x:c r="L241" s="52" t="n">
        <x:v>21.680063</x:v>
      </x:c>
      <x:c r="M241" s="52" t="n">
        <x:f>L241-H241</x:f>
        <x:v>4.665800000000001</x:v>
      </x:c>
      <x:c r="N241" s="55" t="n">
        <x:f>M241/MAX(I241,1)</x:f>
        <x:v>1.1423848072467422</x:v>
      </x:c>
      <x:c r="O241" s="52" t="n">
        <x:v>19.19548</x:v>
      </x:c>
      <x:c r="P241" s="52" t="n">
        <x:v>27.95471</x:v>
      </x:c>
      <x:c r="Q241" s="52" t="n">
        <x:f>P241-O241</x:f>
        <x:v>8.759229999999999</x:v>
      </x:c>
      <x:c r="R241" s="58" t="n">
        <x:v>114</x:v>
      </x:c>
      <x:c r="S241" s="58" t="n">
        <x:v>5</x:v>
      </x:c>
      <x:c r="T241" s="64" t="str">
        <x:v>profit_profitAmount</x:v>
      </x:c>
    </x:row>
    <x:row r="242">
      <x:c r="A242" s="61" t="str">
        <x:v>7f956d23769e0948198ac5a5bf626cc4</x:v>
      </x:c>
      <x:c r="B242" s="64" t="str">
        <x:v>B类：当前真实与预测均盈利，Top1增益超过当前预测误差</x:v>
      </x:c>
      <x:c r="C242" s="64" t="str">
        <x:v>较高（1.0–1.5倍）</x:v>
      </x:c>
      <x:c r="D242" s="49" t="n">
        <x:v>46261</x:v>
      </x:c>
      <x:c r="E242" s="61" t="str">
        <x:v>10000244</x:v>
      </x:c>
      <x:c r="F242" s="46" t="str">
        <x:v>B站专线-盒子V2</x:v>
      </x:c>
      <x:c r="G242" s="52" t="n">
        <x:v>7.86</x:v>
      </x:c>
      <x:c r="H242" s="52" t="n">
        <x:v>17.848053</x:v>
      </x:c>
      <x:c r="I242" s="52" t="n">
        <x:f>ABS(G242-H242)</x:f>
        <x:v>9.988053</x:v>
      </x:c>
      <x:c r="J242" s="61" t="str">
        <x:v>10000123</x:v>
      </x:c>
      <x:c r="K242" s="46" t="str">
        <x:v>金山云ern_HQ</x:v>
      </x:c>
      <x:c r="L242" s="52" t="n">
        <x:v>29.158995</x:v>
      </x:c>
      <x:c r="M242" s="52" t="n">
        <x:f>L242-H242</x:f>
        <x:v>11.310942</x:v>
      </x:c>
      <x:c r="N242" s="55" t="n">
        <x:f>M242/MAX(I242,1)</x:f>
        <x:v>1.1324471345916967</x:v>
      </x:c>
      <x:c r="O242" s="52" t="n">
        <x:v>-2.4091034</x:v>
      </x:c>
      <x:c r="P242" s="52" t="n">
        <x:v>32.43402</x:v>
      </x:c>
      <x:c r="Q242" s="52" t="n">
        <x:f>P242-O242</x:f>
        <x:v>34.843123399999996</x:v>
      </x:c>
      <x:c r="R242" s="58" t="n">
        <x:v>350</x:v>
      </x:c>
      <x:c r="S242" s="58" t="n">
        <x:v>7</x:v>
      </x:c>
      <x:c r="T242" s="64" t="str">
        <x:v>profit_profitAmount</x:v>
      </x:c>
    </x:row>
    <x:row r="243">
      <x:c r="A243" s="61" t="str">
        <x:v>5218e9c78b9cd169ab3594fd29b3bf6a</x:v>
      </x:c>
      <x:c r="B243" s="64" t="str">
        <x:v>B类：当前真实与预测均盈利，Top1增益超过当前预测误差</x:v>
      </x:c>
      <x:c r="C243" s="64" t="str">
        <x:v>较高（1.0–1.5倍）</x:v>
      </x:c>
      <x:c r="D243" s="49" t="n">
        <x:v>46261</x:v>
      </x:c>
      <x:c r="E243" s="61" t="str">
        <x:v>10000304</x:v>
      </x:c>
      <x:c r="F243" s="46" t="str">
        <x:v>快手严选</x:v>
      </x:c>
      <x:c r="G243" s="52" t="n">
        <x:v>61.1</x:v>
      </x:c>
      <x:c r="H243" s="52" t="n">
        <x:v>31.626038</x:v>
      </x:c>
      <x:c r="I243" s="52" t="n">
        <x:f>ABS(G243-H243)</x:f>
        <x:v>29.473962</x:v>
      </x:c>
      <x:c r="J243" s="61" t="str">
        <x:v>10000183</x:v>
      </x:c>
      <x:c r="K243" s="46" t="str">
        <x:v>B站专线-盒子</x:v>
      </x:c>
      <x:c r="L243" s="52" t="n">
        <x:v>64.88468</x:v>
      </x:c>
      <x:c r="M243" s="52" t="n">
        <x:f>L243-H243</x:f>
        <x:v>33.258642</x:v>
      </x:c>
      <x:c r="N243" s="55" t="n">
        <x:f>M243/MAX(I243,1)</x:f>
        <x:v>1.1284075754728868</x:v>
      </x:c>
      <x:c r="O243" s="52" t="n">
        <x:v>32.013535</x:v>
      </x:c>
      <x:c r="P243" s="52" t="n">
        <x:v>50.614468</x:v>
      </x:c>
      <x:c r="Q243" s="52" t="n">
        <x:f>P243-O243</x:f>
        <x:v>18.600933000000005</x:v>
      </x:c>
      <x:c r="R243" s="58" t="n">
        <x:v>96</x:v>
      </x:c>
      <x:c r="S243" s="58" t="n">
        <x:v>7</x:v>
      </x:c>
      <x:c r="T243" s="64" t="str">
        <x:v>profit_profitAmount</x:v>
      </x:c>
    </x:row>
    <x:row r="244">
      <x:c r="A244" s="61" t="str">
        <x:v>2640b319d3d6d1d9f85b0d1847a3581b</x:v>
      </x:c>
      <x:c r="B244" s="64" t="str">
        <x:v>B类：当前真实与预测均盈利，Top1增益超过当前预测误差</x:v>
      </x:c>
      <x:c r="C244" s="64" t="str">
        <x:v>较高（1.0–1.5倍）</x:v>
      </x:c>
      <x:c r="D244" s="49" t="n">
        <x:v>46257</x:v>
      </x:c>
      <x:c r="E244" s="61" t="str">
        <x:v>10000069</x:v>
      </x:c>
      <x:c r="F244" s="46" t="str">
        <x:v>腾讯汇聚P2P</x:v>
      </x:c>
      <x:c r="G244" s="52" t="n">
        <x:v>20.13</x:v>
      </x:c>
      <x:c r="H244" s="52" t="n">
        <x:v>47.66337</x:v>
      </x:c>
      <x:c r="I244" s="52" t="n">
        <x:f>ABS(G244-H244)</x:f>
        <x:v>27.53337</x:v>
      </x:c>
      <x:c r="J244" s="61" t="str">
        <x:v>10000183</x:v>
      </x:c>
      <x:c r="K244" s="46" t="str">
        <x:v>B站专线-盒子</x:v>
      </x:c>
      <x:c r="L244" s="52" t="n">
        <x:v>78.6844</x:v>
      </x:c>
      <x:c r="M244" s="52" t="n">
        <x:f>L244-H244</x:f>
        <x:v>31.021029999999996</x:v>
      </x:c>
      <x:c r="N244" s="55" t="n">
        <x:f>M244/MAX(I244,1)</x:f>
        <x:v>1.126670291359176</x:v>
      </x:c>
      <x:c r="O244" s="52" t="n">
        <x:v>28.49545</x:v>
      </x:c>
      <x:c r="P244" s="52" t="n">
        <x:v>59.761917</x:v>
      </x:c>
      <x:c r="Q244" s="52" t="n">
        <x:f>P244-O244</x:f>
        <x:v>31.266466999999995</x:v>
      </x:c>
      <x:c r="R244" s="58" t="n">
        <x:v>96</x:v>
      </x:c>
      <x:c r="S244" s="58" t="n">
        <x:v>3</x:v>
      </x:c>
      <x:c r="T244" s="64" t="str">
        <x:v>profit_profitAmount</x:v>
      </x:c>
    </x:row>
    <x:row r="245">
      <x:c r="A245" s="61" t="str">
        <x:v>02f54493f863d59414bf14a9d7eb68e6</x:v>
      </x:c>
      <x:c r="B245" s="64" t="str">
        <x:v>B类：当前真实与预测均盈利，Top1增益超过当前预测误差</x:v>
      </x:c>
      <x:c r="C245" s="64" t="str">
        <x:v>较高（1.0–1.5倍）</x:v>
      </x:c>
      <x:c r="D245" s="49" t="n">
        <x:v>46261</x:v>
      </x:c>
      <x:c r="E245" s="61" t="str">
        <x:v>10000292</x:v>
      </x:c>
      <x:c r="F245" s="46"/>
      <x:c r="G245" s="52" t="n">
        <x:v>10.88</x:v>
      </x:c>
      <x:c r="H245" s="52" t="n">
        <x:v>0</x:v>
      </x:c>
      <x:c r="I245" s="52" t="n">
        <x:f>ABS(G245-H245)</x:f>
        <x:v>10.88</x:v>
      </x:c>
      <x:c r="J245" s="61" t="str">
        <x:v>10000244</x:v>
      </x:c>
      <x:c r="K245" s="46" t="str">
        <x:v>B站专线-盒子V2</x:v>
      </x:c>
      <x:c r="L245" s="52" t="n">
        <x:v>12.08798</x:v>
      </x:c>
      <x:c r="M245" s="52" t="n">
        <x:f>L245-H245</x:f>
        <x:v>12.08798</x:v>
      </x:c>
      <x:c r="N245" s="55" t="n">
        <x:f>M245/MAX(I245,1)</x:f>
        <x:v>1.1110275735294117</x:v>
      </x:c>
      <x:c r="O245" s="52" t="n">
        <x:v>-5.5047064</x:v>
      </x:c>
      <x:c r="P245" s="52" t="n">
        <x:v>12.26515</x:v>
      </x:c>
      <x:c r="Q245" s="52" t="n">
        <x:f>P245-O245</x:f>
        <x:v>17.769856400000002</x:v>
      </x:c>
      <x:c r="R245" s="58" t="n">
        <x:v>1318</x:v>
      </x:c>
      <x:c r="S245" s="58" t="n">
        <x:v>7</x:v>
      </x:c>
      <x:c r="T245" s="64" t="str">
        <x:v>profit_profitAmount</x:v>
      </x:c>
    </x:row>
    <x:row r="246">
      <x:c r="A246" s="61" t="str">
        <x:v>2c8de58e56c3be7246dea18d421892ed</x:v>
      </x:c>
      <x:c r="B246" s="64" t="str">
        <x:v>B类：当前真实与预测均盈利，Top1增益超过当前预测误差</x:v>
      </x:c>
      <x:c r="C246" s="64" t="str">
        <x:v>较高（1.0–1.5倍）</x:v>
      </x:c>
      <x:c r="D246" s="49" t="n">
        <x:v>46261</x:v>
      </x:c>
      <x:c r="E246" s="61" t="str">
        <x:v>10000064</x:v>
      </x:c>
      <x:c r="F246" s="46" t="str">
        <x:v>百度小度</x:v>
      </x:c>
      <x:c r="G246" s="52" t="n">
        <x:v>16.98</x:v>
      </x:c>
      <x:c r="H246" s="52" t="n">
        <x:v>0</x:v>
      </x:c>
      <x:c r="I246" s="52" t="n">
        <x:f>ABS(G246-H246)</x:f>
        <x:v>16.98</x:v>
      </x:c>
      <x:c r="J246" s="61" t="str">
        <x:v>10000300</x:v>
      </x:c>
      <x:c r="K246" s="46" t="str">
        <x:v>B站-晚高峰21点</x:v>
      </x:c>
      <x:c r="L246" s="52" t="n">
        <x:v>18.321796</x:v>
      </x:c>
      <x:c r="M246" s="52" t="n">
        <x:f>L246-H246</x:f>
        <x:v>18.321796</x:v>
      </x:c>
      <x:c r="N246" s="55" t="n">
        <x:f>M246/MAX(I246,1)</x:f>
        <x:v>1.0790221436984686</x:v>
      </x:c>
      <x:c r="O246" s="52" t="n">
        <x:v>-12.342768</x:v>
      </x:c>
      <x:c r="P246" s="52" t="n">
        <x:v>19.310574</x:v>
      </x:c>
      <x:c r="Q246" s="52" t="n">
        <x:f>P246-O246</x:f>
        <x:v>31.653342</x:v>
      </x:c>
      <x:c r="R246" s="58" t="n">
        <x:v>52</x:v>
      </x:c>
      <x:c r="S246" s="58" t="n">
        <x:v>7</x:v>
      </x:c>
      <x:c r="T246" s="64" t="str">
        <x:v>profit_profitAmount</x:v>
      </x:c>
    </x:row>
    <x:row r="247">
      <x:c r="A247" s="61" t="str">
        <x:v>1da3ea5745dd4155a1121f59a38b73d1</x:v>
      </x:c>
      <x:c r="B247" s="64" t="str">
        <x:v>B类：当前真实与预测均盈利，Top1增益超过当前预测误差</x:v>
      </x:c>
      <x:c r="C247" s="64" t="str">
        <x:v>较高（1.0–1.5倍）</x:v>
      </x:c>
      <x:c r="D247" s="49" t="n">
        <x:v>46261</x:v>
      </x:c>
      <x:c r="E247" s="61" t="str">
        <x:v>10000048</x:v>
      </x:c>
      <x:c r="F247" s="46" t="str">
        <x:v>优酷汇聚</x:v>
      </x:c>
      <x:c r="G247" s="52" t="n">
        <x:v>123.69</x:v>
      </x:c>
      <x:c r="H247" s="52" t="n">
        <x:v>82.41431</x:v>
      </x:c>
      <x:c r="I247" s="52" t="n">
        <x:f>ABS(G247-H247)</x:f>
        <x:v>41.27569</x:v>
      </x:c>
      <x:c r="J247" s="61" t="str">
        <x:v>10000183</x:v>
      </x:c>
      <x:c r="K247" s="46" t="str">
        <x:v>B站专线-盒子</x:v>
      </x:c>
      <x:c r="L247" s="52" t="n">
        <x:v>126.761284</x:v>
      </x:c>
      <x:c r="M247" s="52" t="n">
        <x:f>L247-H247</x:f>
        <x:v>44.346974</x:v>
      </x:c>
      <x:c r="N247" s="55" t="n">
        <x:f>M247/MAX(I247,1)</x:f>
        <x:v>1.0744090286558505</x:v>
      </x:c>
      <x:c r="O247" s="52" t="n">
        <x:v>84.39235</x:v>
      </x:c>
      <x:c r="P247" s="52" t="n">
        <x:v>175.01155</x:v>
      </x:c>
      <x:c r="Q247" s="52" t="n">
        <x:f>P247-O247</x:f>
        <x:v>90.6192</x:v>
      </x:c>
      <x:c r="R247" s="58" t="n">
        <x:v>96</x:v>
      </x:c>
      <x:c r="S247" s="58" t="n">
        <x:v>7</x:v>
      </x:c>
      <x:c r="T247" s="64" t="str">
        <x:v>profit_profitAmount</x:v>
      </x:c>
    </x:row>
    <x:row r="248">
      <x:c r="A248" s="61" t="str">
        <x:v>efdab95946b931ce0587cdb39366b93b</x:v>
      </x:c>
      <x:c r="B248" s="64" t="str">
        <x:v>B类：当前真实与预测均盈利，Top1增益超过当前预测误差</x:v>
      </x:c>
      <x:c r="C248" s="64" t="str">
        <x:v>较高（1.0–1.5倍）</x:v>
      </x:c>
      <x:c r="D248" s="49" t="n">
        <x:v>46261</x:v>
      </x:c>
      <x:c r="E248" s="61" t="str">
        <x:v>10000244</x:v>
      </x:c>
      <x:c r="F248" s="46" t="str">
        <x:v>B站专线-盒子V2</x:v>
      </x:c>
      <x:c r="G248" s="52" t="n">
        <x:v>13.84</x:v>
      </x:c>
      <x:c r="H248" s="52" t="n">
        <x:v>3.4987717</x:v>
      </x:c>
      <x:c r="I248" s="52" t="n">
        <x:f>ABS(G248-H248)</x:f>
        <x:v>10.341228300000001</x:v>
      </x:c>
      <x:c r="J248" s="61" t="str">
        <x:v>1382490022</x:v>
      </x:c>
      <x:c r="K248" s="46" t="str">
        <x:v>快手盒子</x:v>
      </x:c>
      <x:c r="L248" s="52" t="n">
        <x:v>14.287655</x:v>
      </x:c>
      <x:c r="M248" s="52" t="n">
        <x:f>L248-H248</x:f>
        <x:v>10.788883300000002</x:v>
      </x:c>
      <x:c r="N248" s="55" t="n">
        <x:f>M248/MAX(I248,1)</x:f>
        <x:v>1.043288378035325</x:v>
      </x:c>
      <x:c r="O248" s="52" t="n">
        <x:v>8.876148</x:v>
      </x:c>
      <x:c r="P248" s="52" t="n">
        <x:v>34.13089</x:v>
      </x:c>
      <x:c r="Q248" s="52" t="n">
        <x:f>P248-O248</x:f>
        <x:v>25.254742</x:v>
      </x:c>
      <x:c r="R248" s="58" t="n">
        <x:v>76</x:v>
      </x:c>
      <x:c r="S248" s="58" t="n">
        <x:v>7</x:v>
      </x:c>
      <x:c r="T248" s="64" t="str">
        <x:v>profit_profitAmount</x:v>
      </x:c>
    </x:row>
    <x:row r="249">
      <x:c r="A249" s="61" t="str">
        <x:v>1cb0494a83e2c7513a461c6fb0f616f8</x:v>
      </x:c>
      <x:c r="B249" s="64" t="str">
        <x:v>B类：当前真实与预测均盈利，Top1增益超过当前预测误差</x:v>
      </x:c>
      <x:c r="C249" s="64" t="str">
        <x:v>较高（1.0–1.5倍）</x:v>
      </x:c>
      <x:c r="D249" s="49" t="n">
        <x:v>46261</x:v>
      </x:c>
      <x:c r="E249" s="61" t="str">
        <x:v>10000019</x:v>
      </x:c>
      <x:c r="F249" s="46" t="str">
        <x:v>B站盒子</x:v>
      </x:c>
      <x:c r="G249" s="52" t="n">
        <x:v>17.13</x:v>
      </x:c>
      <x:c r="H249" s="52" t="n">
        <x:v>0</x:v>
      </x:c>
      <x:c r="I249" s="52" t="n">
        <x:f>ABS(G249-H249)</x:f>
        <x:v>17.13</x:v>
      </x:c>
      <x:c r="J249" s="61" t="str">
        <x:v>1382490022</x:v>
      </x:c>
      <x:c r="K249" s="46" t="str">
        <x:v>快手盒子</x:v>
      </x:c>
      <x:c r="L249" s="52" t="n">
        <x:v>17.841787</x:v>
      </x:c>
      <x:c r="M249" s="52" t="n">
        <x:f>L249-H249</x:f>
        <x:v>17.841787</x:v>
      </x:c>
      <x:c r="N249" s="55" t="n">
        <x:f>M249/MAX(I249,1)</x:f>
        <x:v>1.0415520723876242</x:v>
      </x:c>
      <x:c r="O249" s="52" t="n">
        <x:v>-12.838548</x:v>
      </x:c>
      <x:c r="P249" s="52" t="n">
        <x:v>49.39863</x:v>
      </x:c>
      <x:c r="Q249" s="52" t="n">
        <x:f>P249-O249</x:f>
        <x:v>62.237178</x:v>
      </x:c>
      <x:c r="R249" s="58" t="n">
        <x:v>76</x:v>
      </x:c>
      <x:c r="S249" s="58" t="n">
        <x:v>7</x:v>
      </x:c>
      <x:c r="T249" s="64" t="str">
        <x:v>profit_profitAmount</x:v>
      </x:c>
    </x:row>
    <x:row r="250">
      <x:c r="A250" s="62" t="str">
        <x:v>0f3dab83154ac13a39ad3b844662aa66</x:v>
      </x:c>
      <x:c r="B250" s="65" t="str">
        <x:v>B类：当前真实与预测均盈利，Top1增益超过当前预测误差</x:v>
      </x:c>
      <x:c r="C250" s="65" t="str">
        <x:v>较高（1.0–1.5倍）</x:v>
      </x:c>
      <x:c r="D250" s="50" t="n">
        <x:v>46261</x:v>
      </x:c>
      <x:c r="E250" s="62" t="str">
        <x:v>10000292</x:v>
      </x:c>
      <x:c r="F250" s="47"/>
      <x:c r="G250" s="53" t="n">
        <x:v>31.15</x:v>
      </x:c>
      <x:c r="H250" s="53" t="n">
        <x:v>14.973145</x:v>
      </x:c>
      <x:c r="I250" s="53" t="n">
        <x:f>ABS(G250-H250)</x:f>
        <x:v>16.176854999999996</x:v>
      </x:c>
      <x:c r="J250" s="62" t="str">
        <x:v>1382490022</x:v>
      </x:c>
      <x:c r="K250" s="47" t="str">
        <x:v>快手盒子</x:v>
      </x:c>
      <x:c r="L250" s="53" t="n">
        <x:v>31.212101</x:v>
      </x:c>
      <x:c r="M250" s="53" t="n">
        <x:f>L250-H250</x:f>
        <x:v>16.238956</x:v>
      </x:c>
      <x:c r="N250" s="56" t="n">
        <x:f>M250/MAX(I250,1)</x:f>
        <x:v>1.0038388796833504</x:v>
      </x:c>
      <x:c r="O250" s="53" t="n">
        <x:v>23.64087</x:v>
      </x:c>
      <x:c r="P250" s="53" t="n">
        <x:v>39.43989</x:v>
      </x:c>
      <x:c r="Q250" s="53" t="n">
        <x:f>P250-O250</x:f>
        <x:v>15.799019999999999</x:v>
      </x:c>
      <x:c r="R250" s="59" t="n">
        <x:v>76</x:v>
      </x:c>
      <x:c r="S250" s="59" t="n">
        <x:v>7</x:v>
      </x:c>
      <x:c r="T250" s="65" t="str">
        <x:v>profit_profitAmount</x:v>
      </x:c>
    </x:row>
  </x:sheetData>
  <x:mergeCells>
    <x:mergeCell ref="A1:T1"/>
    <x:mergeCell ref="A2:T2"/>
    <x:mergeCell ref="A3:B3"/>
    <x:mergeCell ref="C3:D3"/>
    <x:mergeCell ref="E3:F3"/>
    <x:mergeCell ref="G3:H3"/>
    <x:mergeCell ref="I3:J3"/>
    <x:mergeCell ref="A4:B4"/>
    <x:mergeCell ref="C4:D4"/>
    <x:mergeCell ref="E4:F4"/>
    <x:mergeCell ref="G4:H4"/>
    <x:mergeCell ref="I4:J4"/>
    <x:mergeCell ref="A6:T6"/>
  </x:mergeCells>
  <x:conditionalFormatting sqref="B8:B250">
    <x:cfRule type="beginsWith" dxfId="0" priority="1" operator="beginsWith" text="A类"/>
    <x:cfRule type="beginsWith" dxfId="1" priority="2" operator="beginsWith" text="B类"/>
  </x:conditionalFormatting>
  <x:conditionalFormatting sqref="C8:C250">
    <x:cfRule type="containsText" dxfId="2" priority="3" operator="containsText" text="很高"/>
    <x:cfRule type="beginsWith" dxfId="3" priority="4" operator="beginsWith" text="高（"/>
  </x:conditionalFormatting>
  <x:conditionalFormatting sqref="N8:N250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{66DE4CEE-4143-6983-95FD-1A5732FEC957}</x14:id>
        </x:ext>
      </x:extLst>
    </x:cfRule>
  </x:conditionalFormatting>
  <x:conditionalFormatting sqref="M8:M250">
    <x:cfRule type="colorScale" priority="6">
      <x:colorScale>
        <x:cfvo type="min"/>
        <x:cfvo type="percentile" val="50"/>
        <x:cfvo type="max"/>
        <x:color rgb="FFFFF2CC"/>
        <x:color rgb="FFC6E0B4"/>
        <x:color rgb="FF63BE7B"/>
      </x:colorScale>
    </x:cfRule>
  </x:conditionalFormatting>
  <x:conditionalFormatting sqref="Q8:Q250">
    <x:cfRule type="colorScale" priority="7">
      <x:colorScale>
        <x:cfvo type="min"/>
        <x:cfvo type="percentile" val="50"/>
        <x:cfvo type="max"/>
        <x:color rgb="FFFFF2CC"/>
        <x:color rgb="FFC6E0B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54c5bacfa0949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66DE4CEE-4143-6983-95FD-1A5732FEC957}">
            <x14:dataBar gradient="1">
              <x14:cfvo type="min"/>
              <x14:cfvo type="max"/>
              <x14:fillColor rgb="FF70AD47"/>
            </x14:dataBar>
          </x14:cfRule>
          <xm:sqref>N8:N250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34" customHeight="1">
      <x:c r="A1" s="3" t="str">
        <x:v>高确定性筛选口径</x:v>
      </x:c>
      <x:c r="B1" s="3"/>
    </x:row>
    <x:row r="3">
      <x:c r="A3" s="70" t="str">
        <x:v>项目</x:v>
      </x:c>
      <x:c r="B3" s="70" t="str">
        <x:v>说明</x:v>
      </x:c>
    </x:row>
    <x:row r="4" ht="40" customHeight="1">
      <x:c r="A4" s="71" t="str">
        <x:v>基础范围</x:v>
      </x:c>
      <x:c r="B4" s="72" t="str">
        <x:v>从 v4.1 双路线共同 Top1 审核表的 3486 个“可修改”节点开始筛选。</x:v>
      </x:c>
    </x:row>
    <x:row r="5" ht="40" customHeight="1">
      <x:c r="A5" s="71" t="str">
        <x:v>数据完整性</x:v>
      </x:c>
      <x:c r="B5" s="72" t="str">
        <x:v>要求最近真实利润存在，并且当前真实业务位于 v4.1 模型候选集，可同时取得当前业务与 Top1 的预测结果。</x:v>
      </x:c>
    </x:row>
    <x:row r="6" ht="40" customHeight="1">
      <x:c r="A6" s="71" t="str">
        <x:v>方向可信</x:v>
      </x:c>
      <x:c r="B6" s="72" t="str">
        <x:v>当前真实利润与当前业务金额路线预测利润必须同号：实际亏损时模型也判断亏损，实际盈利时模型也判断盈利。</x:v>
      </x:c>
    </x:row>
    <x:row r="7" ht="40" customHeight="1">
      <x:c r="A7" s="71" t="str">
        <x:v>信号覆盖误差</x:v>
      </x:c>
      <x:c r="B7" s="72" t="str">
        <x:v>Top1金额预测提升 &gt; |当前真实利润 - 当前业务预测利润|。也就是切换增益要大于模型在当前业务上的预测误差。</x:v>
      </x:c>
    </x:row>
    <x:row r="8" ht="40" customHeight="1">
      <x:c r="A8" s="71" t="str">
        <x:v>双路线确认</x:v>
      </x:c>
      <x:c r="B8" s="72" t="str">
        <x:v>去偏利润路线的 Top1 修正利润分必须高于当前真实业务的修正利润分。</x:v>
      </x:c>
    </x:row>
    <x:row r="9" ht="40" customHeight="1">
      <x:c r="A9" s="71" t="str">
        <x:v>A类：亏损转正</x:v>
      </x:c>
      <x:c r="B9" s="72" t="str">
        <x:v>当前真实利润 &lt; 0、当前业务预测利润 &lt; 0，同时 Top1 预测利润 &gt; 0，并满足其他全部条件。</x:v>
      </x:c>
    </x:row>
    <x:row r="10" ht="40" customHeight="1">
      <x:c r="A10" s="71" t="str">
        <x:v>B类：明确增益</x:v>
      </x:c>
      <x:c r="B10" s="72" t="str">
        <x:v>当前真实利润 ≥ 0、当前业务预测利润 ≥ 0，且 Top1 预测提升超过当前预测绝对误差，并满足其他全部条件。</x:v>
      </x:c>
    </x:row>
    <x:row r="11" ht="40" customHeight="1">
      <x:c r="A11" s="71" t="str">
        <x:v>确定性等级</x:v>
      </x:c>
      <x:c r="B11" s="72" t="str">
        <x:v>提升÷误差 ≥2.0 为很高；1.5–2.0 为高；1.0–1.5 为较高。分母最低按 1 元计算，避免误差接近 0 时比例失真。</x:v>
      </x:c>
    </x:row>
    <x:row r="12" ht="40" customHeight="1">
      <x:c r="A12" s="71" t="str">
        <x:v>筛选结果</x:v>
      </x:c>
      <x:c r="B12" s="72" t="str">
        <x:v>最终 243 个：A类 78 个，B类 165 个；很高 161 个，高 32 个，较高 50 个。</x:v>
      </x:c>
    </x:row>
    <x:row r="13" ht="40" customHeight="1">
      <x:c r="A13" s="71" t="str">
        <x:v>修正利润分</x:v>
      </x:c>
      <x:c r="B13" s="72" t="str">
        <x:v>直接利润预测叠加 0.3 × 标准化 Pairwise 排序信号后的排序分，不直接等同于精确金额。</x:v>
      </x:c>
    </x:row>
    <x:row r="14" ht="40" customHeight="1">
      <x:c r="A14" s="71" t="str">
        <x:v>业务准入</x:v>
      </x:c>
      <x:c r="B14" s="72" t="str">
        <x:v>继续执行：汇聚节点只推荐汇聚业务；专线节点可以推荐汇聚或专线业务。</x:v>
      </x:c>
    </x:row>
    <x:row r="15" ht="40" customHeight="1">
      <x:c r="A15" s="71" t="str">
        <x:v>使用边界</x:v>
      </x:c>
      <x:c r="B15" s="72" t="str">
        <x:v>高确定性仍是模型层面的强候选，不等于可以自动切换；上线前仍需容量、合同计费和部署审核。</x:v>
      </x:c>
    </x:row>
  </x:sheetData>
  <x:mergeCells>
    <x:mergeCell ref="A1:B1"/>
  </x:mergeCells>
  <x:pageMargins left="0.7" right="0.7" top="0.75" bottom="0.75" header="0.3" footer="0.3"/>
</x:worksheet>
</file>